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2026\"/>
    </mc:Choice>
  </mc:AlternateContent>
  <xr:revisionPtr revIDLastSave="0" documentId="8_{230EE6A4-0A73-444A-A8BC-9B02AEFFE755}" xr6:coauthVersionLast="47" xr6:coauthVersionMax="47" xr10:uidLastSave="{00000000-0000-0000-0000-000000000000}"/>
  <bookViews>
    <workbookView xWindow="-120" yWindow="-120" windowWidth="29040" windowHeight="15840" xr2:uid="{A83F605D-A5AC-4E7A-8F10-36D4A8A7B918}"/>
  </bookViews>
  <sheets>
    <sheet name="Cierre" sheetId="1" r:id="rId1"/>
    <sheet name="Ventas" sheetId="2" r:id="rId2"/>
    <sheet name="Inventario" sheetId="3" r:id="rId3"/>
    <sheet name="Canceladas" sheetId="4" r:id="rId4"/>
    <sheet name="Retiros" sheetId="5" r:id="rId5"/>
    <sheet name="Por Vendedores" sheetId="6" r:id="rId6"/>
    <sheet name="Por Cajeros" sheetId="7" r:id="rId7"/>
    <sheet name="Ventas Web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7" l="1"/>
  <c r="C7" i="6"/>
</calcChain>
</file>

<file path=xl/sharedStrings.xml><?xml version="1.0" encoding="utf-8"?>
<sst xmlns="http://schemas.openxmlformats.org/spreadsheetml/2006/main" count="312" uniqueCount="200">
  <si>
    <t>CIERRE DE APERTURA 7 FITNESS NAYARIT # FN-248</t>
  </si>
  <si>
    <t>Apertura #:</t>
  </si>
  <si>
    <t>FN-248</t>
  </si>
  <si>
    <t>Cajero:</t>
  </si>
  <si>
    <t>ANDREW</t>
  </si>
  <si>
    <t>Fecha Apertura:</t>
  </si>
  <si>
    <t>miércoles 07-ene-2026</t>
  </si>
  <si>
    <t>Hora Inicio:</t>
  </si>
  <si>
    <t>Hora Fin:</t>
  </si>
  <si>
    <t>Fondo Caja:</t>
  </si>
  <si>
    <t>Cantidad Tickets:</t>
  </si>
  <si>
    <t>DETALLE VENTAS</t>
  </si>
  <si>
    <t>Ventas Membresias:</t>
  </si>
  <si>
    <t>Ventas Productos Tasa 0%:</t>
  </si>
  <si>
    <t>Ventas Productos Tasa 16%:</t>
  </si>
  <si>
    <t>Subtotal:</t>
  </si>
  <si>
    <t>IVA:</t>
  </si>
  <si>
    <t>Total Venta:</t>
  </si>
  <si>
    <t>Total Retiros:</t>
  </si>
  <si>
    <t>Total Caja:</t>
  </si>
  <si>
    <t>Total Ventas Web:</t>
  </si>
  <si>
    <t>FORMAS DE PAGO</t>
  </si>
  <si>
    <t>Ventas Efectivo:</t>
  </si>
  <si>
    <t>Ventas Tarjeta Debito:</t>
  </si>
  <si>
    <t>Ventas Tarjeta Credito:</t>
  </si>
  <si>
    <t>Total Voucher:</t>
  </si>
  <si>
    <t>Ventas Anticipo:</t>
  </si>
  <si>
    <t>Comision a Pagar:</t>
  </si>
  <si>
    <t>CONSOLIDADO</t>
  </si>
  <si>
    <t>Cant</t>
  </si>
  <si>
    <t>Producto</t>
  </si>
  <si>
    <t>Precio</t>
  </si>
  <si>
    <t>Tasa IVA %</t>
  </si>
  <si>
    <t>Subtotal</t>
  </si>
  <si>
    <t>IVA</t>
  </si>
  <si>
    <t>Cargos</t>
  </si>
  <si>
    <t>Dctos.</t>
  </si>
  <si>
    <t>Total</t>
  </si>
  <si>
    <t>%</t>
  </si>
  <si>
    <t>Tickets</t>
  </si>
  <si>
    <t>EFECTIVO MENSUALIDAD ESTUDIANTE</t>
  </si>
  <si>
    <t>EFECTIVO MENSUALIDAD GENERAL</t>
  </si>
  <si>
    <t>VISITA</t>
  </si>
  <si>
    <t>EFECTIVO PACIENTES CONSULTA NACHO</t>
  </si>
  <si>
    <t>EFECTIVO SEMANA</t>
  </si>
  <si>
    <t>AGUA CIEL 1.5L</t>
  </si>
  <si>
    <t>MONSTER BLANCO</t>
  </si>
  <si>
    <t>AGUA 1L</t>
  </si>
  <si>
    <t>Observaciones:</t>
  </si>
  <si>
    <t>VENTAS</t>
  </si>
  <si>
    <t># Ticket</t>
  </si>
  <si>
    <t>Fecha Venta</t>
  </si>
  <si>
    <t>Num. Socio</t>
  </si>
  <si>
    <t>Socio</t>
  </si>
  <si>
    <t>Descripcion</t>
  </si>
  <si>
    <t>Forma Pago</t>
  </si>
  <si>
    <t>Dcto.</t>
  </si>
  <si>
    <t>Cargo</t>
  </si>
  <si>
    <t>07-ene-2026 15:48</t>
  </si>
  <si>
    <t>FN435</t>
  </si>
  <si>
    <t xml:space="preserve">ALEXA FRANCENY PEREZ CELEDON </t>
  </si>
  <si>
    <t>EFECTIVO MENSUALIDAD ESTUDIANTE ENE 2026</t>
  </si>
  <si>
    <t>EFECTIVO</t>
  </si>
  <si>
    <t>07-ene-2026 18:05</t>
  </si>
  <si>
    <t>PUBLICO GENERAL</t>
  </si>
  <si>
    <t>07-ene-2026 19:15</t>
  </si>
  <si>
    <t>08-ene-2026 12:08</t>
  </si>
  <si>
    <t>08-ene-2026 19:22</t>
  </si>
  <si>
    <t>08-ene-2026 20:08</t>
  </si>
  <si>
    <t>09-ene-2026 14:27</t>
  </si>
  <si>
    <t>FN509</t>
  </si>
  <si>
    <t xml:space="preserve">DIEGO ALBERTO DE SANTIAGO MENDOZA </t>
  </si>
  <si>
    <t>EFECTIVO SEMANA ENE 2026</t>
  </si>
  <si>
    <t>09-ene-2026 15:23</t>
  </si>
  <si>
    <t>09-ene-2026 18:57</t>
  </si>
  <si>
    <t>12-ene-2026 13:27</t>
  </si>
  <si>
    <t>FN614</t>
  </si>
  <si>
    <t xml:space="preserve">JOSE MARTINEZ CONTRERA  VELASCO </t>
  </si>
  <si>
    <t>EFECTIVO MENSUALIDAD GENERAL ENE 2026</t>
  </si>
  <si>
    <t>EFECTIVO (CARLOS)</t>
  </si>
  <si>
    <t>12-ene-2026 13:29</t>
  </si>
  <si>
    <t>FN621</t>
  </si>
  <si>
    <t xml:space="preserve">BRYAN CONTRERAS VELASCO </t>
  </si>
  <si>
    <t>12-ene-2026 14:11</t>
  </si>
  <si>
    <t>FN686</t>
  </si>
  <si>
    <t xml:space="preserve">EMIY MAYTEE GONZALEZ </t>
  </si>
  <si>
    <t>EFECTIVO (NACHO)</t>
  </si>
  <si>
    <t>12-ene-2026 14:14</t>
  </si>
  <si>
    <t>12-ene-2026 14:15</t>
  </si>
  <si>
    <t>12-ene-2026 14:17</t>
  </si>
  <si>
    <t>FN493</t>
  </si>
  <si>
    <t xml:space="preserve">RUBEN FLORES PARTIDA </t>
  </si>
  <si>
    <t>12-ene-2026 14:37</t>
  </si>
  <si>
    <t>FN657</t>
  </si>
  <si>
    <t xml:space="preserve">LOPEZ NUÑEZ FABIOLA </t>
  </si>
  <si>
    <t>12-ene-2026 16:15</t>
  </si>
  <si>
    <t>12-ene-2026 16:53</t>
  </si>
  <si>
    <t>FN449</t>
  </si>
  <si>
    <t xml:space="preserve">ANDRES GARCIA MARTINEZ </t>
  </si>
  <si>
    <t>12-ene-2026 17:00</t>
  </si>
  <si>
    <t>FN58</t>
  </si>
  <si>
    <t xml:space="preserve">GAEL GARCIA PEREZ </t>
  </si>
  <si>
    <t>12-ene-2026 17:02</t>
  </si>
  <si>
    <t>FN536</t>
  </si>
  <si>
    <t xml:space="preserve">JULYSSA AMADOR MARCIAL </t>
  </si>
  <si>
    <t>EFECTIVO PACIENTES CONSULTA NACHO ENE 2026</t>
  </si>
  <si>
    <t>12-ene-2026 17:04</t>
  </si>
  <si>
    <t>FN125</t>
  </si>
  <si>
    <t xml:space="preserve">URIEL JUAREZ AGUILAR </t>
  </si>
  <si>
    <t>12-ene-2026 17:46</t>
  </si>
  <si>
    <t>FN378</t>
  </si>
  <si>
    <t xml:space="preserve">CALEB DIAZ ARJONA </t>
  </si>
  <si>
    <t>12-ene-2026 18:15</t>
  </si>
  <si>
    <t>12-ene-2026 18:16</t>
  </si>
  <si>
    <t>FN354</t>
  </si>
  <si>
    <t xml:space="preserve">esteban emiliao arana rodriguez </t>
  </si>
  <si>
    <t>12-ene-2026 18:36</t>
  </si>
  <si>
    <t>12-ene-2026 19:26</t>
  </si>
  <si>
    <t>12-ene-2026 19:56</t>
  </si>
  <si>
    <t>12-ene-2026 20:04</t>
  </si>
  <si>
    <t>INVENTARIO APERTURA 248</t>
  </si>
  <si>
    <t>Exi Anterior</t>
  </si>
  <si>
    <t>Ajuste</t>
  </si>
  <si>
    <t>Exi Inicial</t>
  </si>
  <si>
    <t>Entradas</t>
  </si>
  <si>
    <t>Salidas</t>
  </si>
  <si>
    <t>Exi Actual</t>
  </si>
  <si>
    <t>AGUA CIEL 600ML</t>
  </si>
  <si>
    <t>AGUA DE 1L</t>
  </si>
  <si>
    <t>AMPER</t>
  </si>
  <si>
    <t>AMPER BLUEBERRY</t>
  </si>
  <si>
    <t>AMPER PREDATOR</t>
  </si>
  <si>
    <t>BARRA PROTEINA</t>
  </si>
  <si>
    <t>BARRITA GRANOLA</t>
  </si>
  <si>
    <t>COCA COLA</t>
  </si>
  <si>
    <t>DELAWARE PUNCH 600</t>
  </si>
  <si>
    <t>ELECTROLIT COCO</t>
  </si>
  <si>
    <t>ELECTROLIT FRESA KIWI</t>
  </si>
  <si>
    <t>ELECTROLIT MORA AZUL</t>
  </si>
  <si>
    <t>ELECTROLIT NARANJA MANDARINA</t>
  </si>
  <si>
    <t>H2O POWER</t>
  </si>
  <si>
    <t>HIDRO PLEX ROMPOPE</t>
  </si>
  <si>
    <t>ISO100 CHOCOMANI</t>
  </si>
  <si>
    <t>ISO100VAINILLA</t>
  </si>
  <si>
    <t>MACA COFFEE</t>
  </si>
  <si>
    <t>MONSTER</t>
  </si>
  <si>
    <t>MONSTER AZUL</t>
  </si>
  <si>
    <t>MONSTER CLASICO</t>
  </si>
  <si>
    <t>MONSTER VERDE</t>
  </si>
  <si>
    <t>POWER AZUL</t>
  </si>
  <si>
    <t>POWER MORADO</t>
  </si>
  <si>
    <t>POWER NARANJA</t>
  </si>
  <si>
    <t>POWER ROJO</t>
  </si>
  <si>
    <t>POWER VERDE</t>
  </si>
  <si>
    <t>PREENTRENO PSYCO</t>
  </si>
  <si>
    <t>PROMO POWER 2 X $60</t>
  </si>
  <si>
    <t>PSYCHOTIC</t>
  </si>
  <si>
    <t>SCOOP GOLD STANDARD CHCOLATE BLANCO</t>
  </si>
  <si>
    <t>SCOOP PRE XTERMINATOR</t>
  </si>
  <si>
    <t>SHWAGAANDHA</t>
  </si>
  <si>
    <t>SUEROX MORADO</t>
  </si>
  <si>
    <t>SUEROX ROJO</t>
  </si>
  <si>
    <t>SUEROX VERDE LIMA</t>
  </si>
  <si>
    <t>VISITA LEO</t>
  </si>
  <si>
    <t>VIVE100 500ML</t>
  </si>
  <si>
    <t>VOLT</t>
  </si>
  <si>
    <t>VOLT BLUE</t>
  </si>
  <si>
    <t>WHEY HER TRIPLEH CHOCOLATE</t>
  </si>
  <si>
    <t>WHEY PLAYEX CAPUCHINO</t>
  </si>
  <si>
    <t>WHEY PLEX CHOCO NUEZ</t>
  </si>
  <si>
    <t>WHEY PLEX FRESA</t>
  </si>
  <si>
    <t>WHEY PLEX PLATANO</t>
  </si>
  <si>
    <t>WHEY PLEX TRIPLE CHOCOLOTE</t>
  </si>
  <si>
    <t>WHEY PLEX VAINILLA</t>
  </si>
  <si>
    <t>XT BURN</t>
  </si>
  <si>
    <t>XT CREATINA</t>
  </si>
  <si>
    <t>XT GRIP</t>
  </si>
  <si>
    <t>XTERMINATOR</t>
  </si>
  <si>
    <t>VENTAS CANCELADAS</t>
  </si>
  <si>
    <t>RETIROS</t>
  </si>
  <si>
    <t>Folio</t>
  </si>
  <si>
    <t>Fecha Retiro</t>
  </si>
  <si>
    <t>Concepto</t>
  </si>
  <si>
    <t>Efectivo</t>
  </si>
  <si>
    <t>POR VENDEDORES</t>
  </si>
  <si>
    <t>Vendedor</t>
  </si>
  <si>
    <t>Cantidad</t>
  </si>
  <si>
    <t>Total Venta ($)</t>
  </si>
  <si>
    <t>ALICIA ACEVEDO</t>
  </si>
  <si>
    <t>NACHO</t>
  </si>
  <si>
    <t>PADRE</t>
  </si>
  <si>
    <t>POR CAJEROS</t>
  </si>
  <si>
    <t>Cajero</t>
  </si>
  <si>
    <t>VENTAS WEB</t>
  </si>
  <si>
    <t># Folio</t>
  </si>
  <si>
    <t>Cuota</t>
  </si>
  <si>
    <t>Sesiones</t>
  </si>
  <si>
    <t>Fecha Inicio</t>
  </si>
  <si>
    <t>Fecha Fin</t>
  </si>
  <si>
    <t>Total($)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</si>
</sst>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%"/>
    <numFmt numFmtId="165" formatCode="#0.0"/>
    <numFmt numFmtId="166" formatCode="0;\-0;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0" fontId="2" fillId="0" borderId="1" xfId="0" applyFont="1" applyBorder="1" applyAlignment="1"/>
    <xf numFmtId="0" fontId="3" fillId="0" borderId="1" xfId="0" applyFont="1" applyBorder="1" applyAlignment="1">
      <alignment horizontal="left"/>
    </xf>
    <xf numFmtId="0" fontId="2" fillId="0" borderId="0" xfId="0" applyFont="1"/>
    <xf numFmtId="0" fontId="3" fillId="0" borderId="1" xfId="0" applyFont="1" applyBorder="1" applyAlignment="1"/>
    <xf numFmtId="20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/>
    <xf numFmtId="164" fontId="2" fillId="0" borderId="1" xfId="0" applyNumberFormat="1" applyFont="1" applyBorder="1"/>
    <xf numFmtId="0" fontId="2" fillId="0" borderId="2" xfId="0" applyFont="1" applyBorder="1" applyAlignment="1"/>
    <xf numFmtId="4" fontId="3" fillId="0" borderId="2" xfId="0" applyNumberFormat="1" applyFont="1" applyBorder="1"/>
    <xf numFmtId="164" fontId="2" fillId="0" borderId="2" xfId="0" applyNumberFormat="1" applyFont="1" applyBorder="1"/>
    <xf numFmtId="0" fontId="2" fillId="0" borderId="1" xfId="0" applyFont="1" applyBorder="1"/>
    <xf numFmtId="0" fontId="4" fillId="0" borderId="1" xfId="0" applyFont="1" applyBorder="1" applyAlignment="1"/>
    <xf numFmtId="4" fontId="5" fillId="0" borderId="1" xfId="0" applyNumberFormat="1" applyFont="1" applyBorder="1"/>
    <xf numFmtId="0" fontId="4" fillId="0" borderId="1" xfId="0" applyFont="1" applyBorder="1"/>
    <xf numFmtId="4" fontId="2" fillId="0" borderId="2" xfId="0" applyNumberFormat="1" applyFont="1" applyBorder="1"/>
    <xf numFmtId="0" fontId="2" fillId="0" borderId="2" xfId="0" applyFont="1" applyBorder="1"/>
    <xf numFmtId="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4" fontId="2" fillId="0" borderId="1" xfId="0" applyNumberFormat="1" applyFont="1" applyBorder="1"/>
    <xf numFmtId="165" fontId="2" fillId="0" borderId="1" xfId="0" applyNumberFormat="1" applyFont="1" applyBorder="1"/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wrapText="1"/>
    </xf>
    <xf numFmtId="0" fontId="7" fillId="0" borderId="1" xfId="0" applyFont="1" applyBorder="1"/>
    <xf numFmtId="4" fontId="7" fillId="0" borderId="1" xfId="0" applyNumberFormat="1" applyFont="1" applyBorder="1"/>
    <xf numFmtId="0" fontId="3" fillId="0" borderId="0" xfId="0" applyFont="1" applyAlignment="1">
      <alignment horizontal="center"/>
    </xf>
    <xf numFmtId="166" fontId="2" fillId="0" borderId="0" xfId="0" applyNumberFormat="1" applyFont="1"/>
    <xf numFmtId="0" fontId="3" fillId="0" borderId="1" xfId="0" applyFont="1" applyBorder="1" applyAlignment="1">
      <alignment horizontal="center" wrapText="1"/>
    </xf>
    <xf numFmtId="166" fontId="2" fillId="0" borderId="1" xfId="0" applyNumberFormat="1" applyFont="1" applyBorder="1"/>
    <xf numFmtId="166" fontId="2" fillId="2" borderId="1" xfId="0" applyNumberFormat="1" applyFont="1" applyFill="1" applyBorder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34BC-058C-45D2-AA5C-3E868A71A826}">
  <dimension ref="A1:N34"/>
  <sheetViews>
    <sheetView tabSelected="1" workbookViewId="0">
      <selection sqref="A1:L1"/>
    </sheetView>
  </sheetViews>
  <sheetFormatPr baseColWidth="10" defaultRowHeight="15" x14ac:dyDescent="0.25"/>
  <cols>
    <col min="1" max="1" width="7.42578125" customWidth="1"/>
    <col min="2" max="2" width="14.7109375" customWidth="1"/>
    <col min="3" max="3" width="12.28515625" customWidth="1"/>
    <col min="4" max="4" width="8.85546875" customWidth="1"/>
    <col min="5" max="5" width="10.140625" customWidth="1"/>
    <col min="6" max="10" width="10.7109375" customWidth="1"/>
    <col min="11" max="11" width="11" customWidth="1"/>
    <col min="12" max="12" width="8.8554687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4" x14ac:dyDescent="0.25">
      <c r="A3" s="3" t="s">
        <v>1</v>
      </c>
      <c r="B3" s="3"/>
      <c r="C3" s="4" t="s">
        <v>2</v>
      </c>
      <c r="D3" s="4"/>
      <c r="E3" s="4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3" t="s">
        <v>3</v>
      </c>
      <c r="B4" s="3"/>
      <c r="C4" s="6" t="s">
        <v>4</v>
      </c>
      <c r="D4" s="6"/>
      <c r="E4" s="6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3" t="s">
        <v>5</v>
      </c>
      <c r="B5" s="3"/>
      <c r="C5" s="6" t="s">
        <v>6</v>
      </c>
      <c r="D5" s="6"/>
      <c r="E5" s="6"/>
      <c r="F5" s="5"/>
      <c r="G5" s="5"/>
      <c r="H5" s="5"/>
      <c r="I5" s="5"/>
      <c r="J5" s="5"/>
      <c r="K5" s="5"/>
      <c r="L5" s="5"/>
      <c r="M5" s="5"/>
      <c r="N5" s="5"/>
    </row>
    <row r="6" spans="1:14" x14ac:dyDescent="0.25">
      <c r="A6" s="3" t="s">
        <v>7</v>
      </c>
      <c r="B6" s="3"/>
      <c r="C6" s="7">
        <v>0.57847222222222228</v>
      </c>
      <c r="D6" s="4"/>
      <c r="E6" s="4"/>
      <c r="F6" s="5"/>
      <c r="G6" s="5"/>
      <c r="H6" s="5"/>
      <c r="I6" s="5"/>
      <c r="J6" s="5"/>
      <c r="K6" s="5"/>
      <c r="L6" s="5"/>
      <c r="M6" s="5"/>
      <c r="N6" s="5"/>
    </row>
    <row r="7" spans="1:14" x14ac:dyDescent="0.25">
      <c r="A7" s="3" t="s">
        <v>8</v>
      </c>
      <c r="B7" s="3"/>
      <c r="C7" s="7">
        <v>0.93333333333333335</v>
      </c>
      <c r="D7" s="4"/>
      <c r="E7" s="4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3" t="s">
        <v>9</v>
      </c>
      <c r="B8" s="3"/>
      <c r="C8" s="8">
        <v>1000</v>
      </c>
      <c r="D8" s="4"/>
      <c r="E8" s="4"/>
      <c r="F8" s="5"/>
      <c r="G8" s="5"/>
      <c r="H8" s="5"/>
      <c r="I8" s="5"/>
      <c r="J8" s="5"/>
      <c r="K8" s="5"/>
      <c r="L8" s="5"/>
      <c r="M8" s="5"/>
      <c r="N8" s="5"/>
    </row>
    <row r="9" spans="1:14" x14ac:dyDescent="0.25">
      <c r="A9" s="3" t="s">
        <v>10</v>
      </c>
      <c r="B9" s="3"/>
      <c r="C9" s="4">
        <v>34</v>
      </c>
      <c r="D9" s="4"/>
      <c r="E9" s="4"/>
      <c r="F9" s="5"/>
      <c r="G9" s="5"/>
      <c r="H9" s="5"/>
      <c r="I9" s="5"/>
      <c r="J9" s="5"/>
      <c r="K9" s="5"/>
      <c r="L9" s="5"/>
      <c r="M9" s="5"/>
      <c r="N9" s="5"/>
    </row>
    <row r="10" spans="1:1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25">
      <c r="A11" s="9" t="s">
        <v>11</v>
      </c>
      <c r="B11" s="9"/>
      <c r="C11" s="9"/>
      <c r="D11" s="9"/>
      <c r="E11" s="5"/>
      <c r="F11" s="9" t="s">
        <v>21</v>
      </c>
      <c r="G11" s="9"/>
      <c r="H11" s="9"/>
      <c r="I11" s="9"/>
      <c r="J11" s="5"/>
      <c r="K11" s="5"/>
      <c r="L11" s="5"/>
      <c r="M11" s="5"/>
      <c r="N11" s="5"/>
    </row>
    <row r="12" spans="1:14" x14ac:dyDescent="0.25">
      <c r="A12" s="3" t="s">
        <v>12</v>
      </c>
      <c r="B12" s="3"/>
      <c r="C12" s="10">
        <v>0</v>
      </c>
      <c r="D12" s="11">
        <v>0</v>
      </c>
      <c r="E12" s="5"/>
      <c r="F12" s="3" t="s">
        <v>22</v>
      </c>
      <c r="G12" s="3"/>
      <c r="H12" s="10">
        <v>6344</v>
      </c>
      <c r="I12" s="11">
        <v>1</v>
      </c>
      <c r="J12" s="5"/>
      <c r="K12" s="5"/>
      <c r="L12" s="5"/>
      <c r="M12" s="5"/>
      <c r="N12" s="5"/>
    </row>
    <row r="13" spans="1:14" x14ac:dyDescent="0.25">
      <c r="A13" s="3" t="s">
        <v>13</v>
      </c>
      <c r="B13" s="3"/>
      <c r="C13" s="10">
        <v>6344</v>
      </c>
      <c r="D13" s="11">
        <v>1.137</v>
      </c>
      <c r="E13" s="5"/>
      <c r="F13" s="3" t="s">
        <v>23</v>
      </c>
      <c r="G13" s="3"/>
      <c r="H13" s="10">
        <v>0</v>
      </c>
      <c r="I13" s="11">
        <v>0</v>
      </c>
      <c r="J13" s="5"/>
      <c r="K13" s="5"/>
      <c r="L13" s="5"/>
      <c r="M13" s="5"/>
      <c r="N13" s="5"/>
    </row>
    <row r="14" spans="1:14" ht="15.75" thickBot="1" x14ac:dyDescent="0.3">
      <c r="A14" s="3" t="s">
        <v>14</v>
      </c>
      <c r="B14" s="3"/>
      <c r="C14" s="10">
        <v>0</v>
      </c>
      <c r="D14" s="11">
        <v>0</v>
      </c>
      <c r="E14" s="5"/>
      <c r="F14" s="3" t="s">
        <v>24</v>
      </c>
      <c r="G14" s="3"/>
      <c r="H14" s="10">
        <v>0</v>
      </c>
      <c r="I14" s="11">
        <v>0</v>
      </c>
      <c r="J14" s="5"/>
      <c r="K14" s="5"/>
      <c r="L14" s="5"/>
      <c r="M14" s="5"/>
      <c r="N14" s="5"/>
    </row>
    <row r="15" spans="1:14" ht="15.75" thickBot="1" x14ac:dyDescent="0.3">
      <c r="A15" s="3" t="s">
        <v>15</v>
      </c>
      <c r="B15" s="3"/>
      <c r="C15" s="10">
        <v>5580</v>
      </c>
      <c r="D15" s="11">
        <v>1</v>
      </c>
      <c r="E15" s="5"/>
      <c r="F15" s="12" t="s">
        <v>25</v>
      </c>
      <c r="G15" s="12"/>
      <c r="H15" s="13">
        <v>0</v>
      </c>
      <c r="I15" s="14">
        <v>0</v>
      </c>
      <c r="J15" s="5"/>
      <c r="K15" s="5"/>
      <c r="L15" s="5"/>
      <c r="M15" s="5"/>
      <c r="N15" s="5"/>
    </row>
    <row r="16" spans="1:14" x14ac:dyDescent="0.25">
      <c r="A16" s="3" t="s">
        <v>16</v>
      </c>
      <c r="B16" s="3"/>
      <c r="C16" s="10">
        <v>764</v>
      </c>
      <c r="D16" s="15"/>
      <c r="E16" s="5"/>
      <c r="F16" s="3" t="s">
        <v>26</v>
      </c>
      <c r="G16" s="3"/>
      <c r="H16" s="10">
        <v>0</v>
      </c>
      <c r="I16" s="11">
        <v>0</v>
      </c>
      <c r="J16" s="5"/>
      <c r="K16" s="5"/>
      <c r="L16" s="5"/>
      <c r="M16" s="5"/>
      <c r="N16" s="5"/>
    </row>
    <row r="17" spans="1:14" x14ac:dyDescent="0.25">
      <c r="A17" s="3" t="s">
        <v>17</v>
      </c>
      <c r="B17" s="3"/>
      <c r="C17" s="10">
        <v>6344</v>
      </c>
      <c r="D17" s="15"/>
      <c r="E17" s="5"/>
      <c r="F17" s="3" t="s">
        <v>27</v>
      </c>
      <c r="G17" s="3"/>
      <c r="H17" s="10">
        <v>0</v>
      </c>
      <c r="I17" s="11">
        <v>0</v>
      </c>
      <c r="J17" s="5"/>
      <c r="K17" s="5"/>
      <c r="L17" s="5"/>
      <c r="M17" s="5"/>
      <c r="N17" s="5"/>
    </row>
    <row r="18" spans="1:14" x14ac:dyDescent="0.25">
      <c r="A18" s="3" t="s">
        <v>9</v>
      </c>
      <c r="B18" s="3"/>
      <c r="C18" s="10">
        <v>1000</v>
      </c>
      <c r="D18" s="1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5">
      <c r="A19" s="16" t="s">
        <v>18</v>
      </c>
      <c r="B19" s="16"/>
      <c r="C19" s="17">
        <v>0</v>
      </c>
      <c r="D19" s="18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5.75" thickBot="1" x14ac:dyDescent="0.3">
      <c r="A20" s="3" t="s">
        <v>19</v>
      </c>
      <c r="B20" s="3"/>
      <c r="C20" s="10">
        <v>7344</v>
      </c>
      <c r="D20" s="1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5.75" thickBot="1" x14ac:dyDescent="0.3">
      <c r="A21" s="12" t="s">
        <v>20</v>
      </c>
      <c r="B21" s="12"/>
      <c r="C21" s="19">
        <v>0</v>
      </c>
      <c r="D21" s="20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9" t="s">
        <v>28</v>
      </c>
      <c r="B23" s="9"/>
      <c r="C23" s="9"/>
      <c r="D23" s="9"/>
      <c r="E23" s="9"/>
      <c r="F23" s="21"/>
      <c r="G23" s="9"/>
      <c r="H23" s="21"/>
      <c r="I23" s="21"/>
      <c r="J23" s="21"/>
      <c r="K23" s="21"/>
      <c r="L23" s="21"/>
      <c r="M23" s="22"/>
      <c r="N23" s="9"/>
    </row>
    <row r="24" spans="1:14" x14ac:dyDescent="0.25">
      <c r="A24" s="23" t="s">
        <v>29</v>
      </c>
      <c r="B24" s="9" t="s">
        <v>30</v>
      </c>
      <c r="C24" s="9"/>
      <c r="D24" s="9"/>
      <c r="E24" s="9"/>
      <c r="F24" s="24" t="s">
        <v>31</v>
      </c>
      <c r="G24" s="23" t="s">
        <v>32</v>
      </c>
      <c r="H24" s="24" t="s">
        <v>33</v>
      </c>
      <c r="I24" s="24" t="s">
        <v>34</v>
      </c>
      <c r="J24" s="24" t="s">
        <v>35</v>
      </c>
      <c r="K24" s="24" t="s">
        <v>36</v>
      </c>
      <c r="L24" s="24" t="s">
        <v>37</v>
      </c>
      <c r="M24" s="25" t="s">
        <v>38</v>
      </c>
      <c r="N24" s="23" t="s">
        <v>39</v>
      </c>
    </row>
    <row r="25" spans="1:14" x14ac:dyDescent="0.25">
      <c r="A25" s="15">
        <v>7</v>
      </c>
      <c r="B25" s="3" t="s">
        <v>40</v>
      </c>
      <c r="C25" s="3"/>
      <c r="D25" s="3"/>
      <c r="E25" s="3"/>
      <c r="F25" s="26">
        <v>450</v>
      </c>
      <c r="G25" s="15">
        <v>0</v>
      </c>
      <c r="H25" s="26">
        <v>3150</v>
      </c>
      <c r="I25" s="26">
        <v>0</v>
      </c>
      <c r="J25" s="26">
        <v>0</v>
      </c>
      <c r="K25" s="26">
        <v>0</v>
      </c>
      <c r="L25" s="26">
        <v>3150</v>
      </c>
      <c r="M25" s="27">
        <v>49.653215636822196</v>
      </c>
      <c r="N25" s="15">
        <v>7</v>
      </c>
    </row>
    <row r="26" spans="1:14" x14ac:dyDescent="0.25">
      <c r="A26" s="15">
        <v>3</v>
      </c>
      <c r="B26" s="3" t="s">
        <v>41</v>
      </c>
      <c r="C26" s="3"/>
      <c r="D26" s="3"/>
      <c r="E26" s="3"/>
      <c r="F26" s="26">
        <v>540</v>
      </c>
      <c r="G26" s="15">
        <v>0</v>
      </c>
      <c r="H26" s="26">
        <v>1620</v>
      </c>
      <c r="I26" s="26">
        <v>0</v>
      </c>
      <c r="J26" s="26">
        <v>0</v>
      </c>
      <c r="K26" s="26">
        <v>0</v>
      </c>
      <c r="L26" s="26">
        <v>1620</v>
      </c>
      <c r="M26" s="27">
        <v>25.535939470365697</v>
      </c>
      <c r="N26" s="15">
        <v>3</v>
      </c>
    </row>
    <row r="27" spans="1:14" x14ac:dyDescent="0.25">
      <c r="A27" s="15">
        <v>9</v>
      </c>
      <c r="B27" s="3" t="s">
        <v>42</v>
      </c>
      <c r="C27" s="3"/>
      <c r="D27" s="3"/>
      <c r="E27" s="3"/>
      <c r="F27" s="26">
        <v>50</v>
      </c>
      <c r="G27" s="15">
        <v>0</v>
      </c>
      <c r="H27" s="26">
        <v>450</v>
      </c>
      <c r="I27" s="26">
        <v>0</v>
      </c>
      <c r="J27" s="26">
        <v>0</v>
      </c>
      <c r="K27" s="26">
        <v>0</v>
      </c>
      <c r="L27" s="26">
        <v>450</v>
      </c>
      <c r="M27" s="27">
        <v>7.0933165195460282</v>
      </c>
      <c r="N27" s="15">
        <v>9</v>
      </c>
    </row>
    <row r="28" spans="1:14" x14ac:dyDescent="0.25">
      <c r="A28" s="15">
        <v>1</v>
      </c>
      <c r="B28" s="3" t="s">
        <v>43</v>
      </c>
      <c r="C28" s="3"/>
      <c r="D28" s="3"/>
      <c r="E28" s="3"/>
      <c r="F28" s="26">
        <v>450</v>
      </c>
      <c r="G28" s="15">
        <v>0</v>
      </c>
      <c r="H28" s="26">
        <v>450</v>
      </c>
      <c r="I28" s="26">
        <v>0</v>
      </c>
      <c r="J28" s="26">
        <v>0</v>
      </c>
      <c r="K28" s="26">
        <v>0</v>
      </c>
      <c r="L28" s="26">
        <v>450</v>
      </c>
      <c r="M28" s="27">
        <v>7.0933165195460282</v>
      </c>
      <c r="N28" s="15">
        <v>1</v>
      </c>
    </row>
    <row r="29" spans="1:14" x14ac:dyDescent="0.25">
      <c r="A29" s="15">
        <v>2</v>
      </c>
      <c r="B29" s="3" t="s">
        <v>44</v>
      </c>
      <c r="C29" s="3"/>
      <c r="D29" s="3"/>
      <c r="E29" s="3"/>
      <c r="F29" s="26">
        <v>180</v>
      </c>
      <c r="G29" s="15">
        <v>0</v>
      </c>
      <c r="H29" s="26">
        <v>360</v>
      </c>
      <c r="I29" s="26">
        <v>0</v>
      </c>
      <c r="J29" s="26">
        <v>0</v>
      </c>
      <c r="K29" s="26">
        <v>0</v>
      </c>
      <c r="L29" s="26">
        <v>360</v>
      </c>
      <c r="M29" s="27">
        <v>5.6746532156368223</v>
      </c>
      <c r="N29" s="15">
        <v>2</v>
      </c>
    </row>
    <row r="30" spans="1:14" x14ac:dyDescent="0.25">
      <c r="A30" s="15">
        <v>6</v>
      </c>
      <c r="B30" s="3" t="s">
        <v>45</v>
      </c>
      <c r="C30" s="3"/>
      <c r="D30" s="3"/>
      <c r="E30" s="3"/>
      <c r="F30" s="26">
        <v>25</v>
      </c>
      <c r="G30" s="15">
        <v>0</v>
      </c>
      <c r="H30" s="26">
        <v>150</v>
      </c>
      <c r="I30" s="26">
        <v>0</v>
      </c>
      <c r="J30" s="26">
        <v>0</v>
      </c>
      <c r="K30" s="26">
        <v>0</v>
      </c>
      <c r="L30" s="26">
        <v>150</v>
      </c>
      <c r="M30" s="27">
        <v>2.3644388398486758</v>
      </c>
      <c r="N30" s="15">
        <v>6</v>
      </c>
    </row>
    <row r="31" spans="1:14" x14ac:dyDescent="0.25">
      <c r="A31" s="15">
        <v>2</v>
      </c>
      <c r="B31" s="3" t="s">
        <v>46</v>
      </c>
      <c r="C31" s="3"/>
      <c r="D31" s="3"/>
      <c r="E31" s="3"/>
      <c r="F31" s="26">
        <v>42</v>
      </c>
      <c r="G31" s="15">
        <v>0</v>
      </c>
      <c r="H31" s="26">
        <v>84</v>
      </c>
      <c r="I31" s="26">
        <v>0</v>
      </c>
      <c r="J31" s="26">
        <v>0</v>
      </c>
      <c r="K31" s="26">
        <v>0</v>
      </c>
      <c r="L31" s="26">
        <v>84</v>
      </c>
      <c r="M31" s="27">
        <v>1.3240857503152585</v>
      </c>
      <c r="N31" s="15">
        <v>2</v>
      </c>
    </row>
    <row r="32" spans="1:14" x14ac:dyDescent="0.25">
      <c r="A32" s="15">
        <v>4</v>
      </c>
      <c r="B32" s="3" t="s">
        <v>47</v>
      </c>
      <c r="C32" s="3"/>
      <c r="D32" s="3"/>
      <c r="E32" s="3"/>
      <c r="F32" s="26">
        <v>20</v>
      </c>
      <c r="G32" s="15">
        <v>0</v>
      </c>
      <c r="H32" s="26">
        <v>80</v>
      </c>
      <c r="I32" s="26">
        <v>0</v>
      </c>
      <c r="J32" s="26">
        <v>0</v>
      </c>
      <c r="K32" s="26">
        <v>0</v>
      </c>
      <c r="L32" s="26">
        <v>80</v>
      </c>
      <c r="M32" s="27">
        <v>1.2610340479192939</v>
      </c>
      <c r="N32" s="15">
        <v>4</v>
      </c>
    </row>
    <row r="33" spans="1:14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25">
      <c r="A34" s="5" t="s">
        <v>48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</sheetData>
  <sheetProtection algorithmName="SHA-512" hashValue="ZjOumgDLEzixrGpshOoFvDwYJCF2zQLqqrcNUosGV6026Pn6nesJEZpQ2aCtNexTzkq+wDz88Z7CDa3XMgvUcA==" saltValue="7moEielMmeV9SUoRMfuWng==" spinCount="100000" sheet="1" objects="1" scenarios="1"/>
  <mergeCells count="43">
    <mergeCell ref="B29:E29"/>
    <mergeCell ref="B30:E30"/>
    <mergeCell ref="B31:E31"/>
    <mergeCell ref="B32:E32"/>
    <mergeCell ref="A23:N23"/>
    <mergeCell ref="B24:E24"/>
    <mergeCell ref="B25:E25"/>
    <mergeCell ref="B26:E26"/>
    <mergeCell ref="B27:E27"/>
    <mergeCell ref="B28:E28"/>
    <mergeCell ref="A21:B21"/>
    <mergeCell ref="F11:I11"/>
    <mergeCell ref="F12:G12"/>
    <mergeCell ref="F13:G13"/>
    <mergeCell ref="F14:G14"/>
    <mergeCell ref="F15:G15"/>
    <mergeCell ref="F16:G16"/>
    <mergeCell ref="F17:G17"/>
    <mergeCell ref="A15:B15"/>
    <mergeCell ref="A16:B16"/>
    <mergeCell ref="A17:B17"/>
    <mergeCell ref="A18:B18"/>
    <mergeCell ref="A19:B19"/>
    <mergeCell ref="A20:B20"/>
    <mergeCell ref="A9:B9"/>
    <mergeCell ref="C9:E9"/>
    <mergeCell ref="A11:D11"/>
    <mergeCell ref="A12:B12"/>
    <mergeCell ref="A13:B13"/>
    <mergeCell ref="A14:B14"/>
    <mergeCell ref="A6:B6"/>
    <mergeCell ref="C6:E6"/>
    <mergeCell ref="A7:B7"/>
    <mergeCell ref="C7:E7"/>
    <mergeCell ref="A8:B8"/>
    <mergeCell ref="C8:E8"/>
    <mergeCell ref="A1:L1"/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95EC-1BEB-4CC7-907C-EF9093E109E0}">
  <dimension ref="A1:L38"/>
  <sheetViews>
    <sheetView workbookViewId="0">
      <selection sqref="A1:I1"/>
    </sheetView>
  </sheetViews>
  <sheetFormatPr baseColWidth="10" defaultRowHeight="15" x14ac:dyDescent="0.25"/>
  <cols>
    <col min="1" max="1" width="8.7109375" customWidth="1"/>
    <col min="2" max="2" width="13.7109375" customWidth="1"/>
    <col min="3" max="3" width="7.7109375" customWidth="1"/>
    <col min="4" max="4" width="30.7109375" customWidth="1"/>
    <col min="5" max="5" width="40.7109375" customWidth="1"/>
    <col min="6" max="6" width="18.7109375" customWidth="1"/>
    <col min="7" max="10" width="11.7109375" customWidth="1"/>
    <col min="11" max="11" width="8.7109375" customWidth="1"/>
  </cols>
  <sheetData>
    <row r="1" spans="1:12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</row>
    <row r="3" spans="1:12" ht="30" customHeight="1" x14ac:dyDescent="0.25">
      <c r="A3" s="30" t="s">
        <v>50</v>
      </c>
      <c r="B3" s="30" t="s">
        <v>51</v>
      </c>
      <c r="C3" s="30" t="s">
        <v>52</v>
      </c>
      <c r="D3" s="30" t="s">
        <v>53</v>
      </c>
      <c r="E3" s="30" t="s">
        <v>54</v>
      </c>
      <c r="F3" s="30" t="s">
        <v>55</v>
      </c>
      <c r="G3" s="30" t="s">
        <v>31</v>
      </c>
      <c r="H3" s="30" t="s">
        <v>56</v>
      </c>
      <c r="I3" s="30" t="s">
        <v>57</v>
      </c>
      <c r="J3" s="30" t="s">
        <v>37</v>
      </c>
    </row>
    <row r="4" spans="1:12" x14ac:dyDescent="0.25">
      <c r="A4" s="31">
        <v>5750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2">
        <v>450</v>
      </c>
      <c r="H4" s="32">
        <v>0</v>
      </c>
      <c r="I4" s="32">
        <v>0</v>
      </c>
      <c r="J4" s="32">
        <v>450</v>
      </c>
      <c r="K4" s="2"/>
      <c r="L4" s="2"/>
    </row>
    <row r="5" spans="1:12" x14ac:dyDescent="0.25">
      <c r="A5" s="31">
        <v>5751</v>
      </c>
      <c r="B5" s="31" t="s">
        <v>63</v>
      </c>
      <c r="C5" s="31"/>
      <c r="D5" s="31" t="s">
        <v>64</v>
      </c>
      <c r="E5" s="31" t="s">
        <v>42</v>
      </c>
      <c r="F5" s="31" t="s">
        <v>62</v>
      </c>
      <c r="G5" s="32">
        <v>50</v>
      </c>
      <c r="H5" s="32">
        <v>0</v>
      </c>
      <c r="I5" s="32">
        <v>0</v>
      </c>
      <c r="J5" s="32">
        <v>50</v>
      </c>
      <c r="K5" s="2"/>
      <c r="L5" s="2"/>
    </row>
    <row r="6" spans="1:12" x14ac:dyDescent="0.25">
      <c r="A6" s="31">
        <v>5752</v>
      </c>
      <c r="B6" s="31" t="s">
        <v>65</v>
      </c>
      <c r="C6" s="31"/>
      <c r="D6" s="31" t="s">
        <v>64</v>
      </c>
      <c r="E6" s="31" t="s">
        <v>45</v>
      </c>
      <c r="F6" s="31" t="s">
        <v>62</v>
      </c>
      <c r="G6" s="32">
        <v>25</v>
      </c>
      <c r="H6" s="32">
        <v>0</v>
      </c>
      <c r="I6" s="32">
        <v>0</v>
      </c>
      <c r="J6" s="32">
        <v>25</v>
      </c>
      <c r="K6" s="2"/>
      <c r="L6" s="2"/>
    </row>
    <row r="7" spans="1:12" x14ac:dyDescent="0.25">
      <c r="A7" s="31">
        <v>5753</v>
      </c>
      <c r="B7" s="31" t="s">
        <v>66</v>
      </c>
      <c r="C7" s="31"/>
      <c r="D7" s="31" t="s">
        <v>64</v>
      </c>
      <c r="E7" s="31" t="s">
        <v>45</v>
      </c>
      <c r="F7" s="31" t="s">
        <v>62</v>
      </c>
      <c r="G7" s="32">
        <v>25</v>
      </c>
      <c r="H7" s="32">
        <v>0</v>
      </c>
      <c r="I7" s="32">
        <v>0</v>
      </c>
      <c r="J7" s="32">
        <v>25</v>
      </c>
      <c r="K7" s="2"/>
      <c r="L7" s="2"/>
    </row>
    <row r="8" spans="1:12" x14ac:dyDescent="0.25">
      <c r="A8" s="31">
        <v>5754</v>
      </c>
      <c r="B8" s="31" t="s">
        <v>67</v>
      </c>
      <c r="C8" s="31"/>
      <c r="D8" s="31" t="s">
        <v>64</v>
      </c>
      <c r="E8" s="31" t="s">
        <v>45</v>
      </c>
      <c r="F8" s="31" t="s">
        <v>62</v>
      </c>
      <c r="G8" s="32">
        <v>25</v>
      </c>
      <c r="H8" s="32">
        <v>0</v>
      </c>
      <c r="I8" s="32">
        <v>0</v>
      </c>
      <c r="J8" s="32">
        <v>25</v>
      </c>
      <c r="K8" s="2"/>
      <c r="L8" s="2"/>
    </row>
    <row r="9" spans="1:12" x14ac:dyDescent="0.25">
      <c r="A9" s="31">
        <v>5755</v>
      </c>
      <c r="B9" s="31" t="s">
        <v>68</v>
      </c>
      <c r="C9" s="31"/>
      <c r="D9" s="31" t="s">
        <v>64</v>
      </c>
      <c r="E9" s="31" t="s">
        <v>46</v>
      </c>
      <c r="F9" s="31" t="s">
        <v>62</v>
      </c>
      <c r="G9" s="32">
        <v>42</v>
      </c>
      <c r="H9" s="32">
        <v>0</v>
      </c>
      <c r="I9" s="32">
        <v>0</v>
      </c>
      <c r="J9" s="32">
        <v>42</v>
      </c>
      <c r="K9" s="2"/>
      <c r="L9" s="2"/>
    </row>
    <row r="10" spans="1:12" x14ac:dyDescent="0.25">
      <c r="A10" s="31">
        <v>5756</v>
      </c>
      <c r="B10" s="31" t="s">
        <v>69</v>
      </c>
      <c r="C10" s="31" t="s">
        <v>70</v>
      </c>
      <c r="D10" s="31" t="s">
        <v>71</v>
      </c>
      <c r="E10" s="31" t="s">
        <v>72</v>
      </c>
      <c r="F10" s="31" t="s">
        <v>62</v>
      </c>
      <c r="G10" s="32">
        <v>180</v>
      </c>
      <c r="H10" s="32">
        <v>0</v>
      </c>
      <c r="I10" s="32">
        <v>0</v>
      </c>
      <c r="J10" s="32">
        <v>180</v>
      </c>
      <c r="K10" s="2"/>
      <c r="L10" s="2"/>
    </row>
    <row r="11" spans="1:12" x14ac:dyDescent="0.25">
      <c r="A11" s="31">
        <v>5757</v>
      </c>
      <c r="B11" s="31" t="s">
        <v>73</v>
      </c>
      <c r="C11" s="31"/>
      <c r="D11" s="31" t="s">
        <v>64</v>
      </c>
      <c r="E11" s="31" t="s">
        <v>45</v>
      </c>
      <c r="F11" s="31" t="s">
        <v>62</v>
      </c>
      <c r="G11" s="32">
        <v>25</v>
      </c>
      <c r="H11" s="32">
        <v>0</v>
      </c>
      <c r="I11" s="32">
        <v>0</v>
      </c>
      <c r="J11" s="32">
        <v>25</v>
      </c>
      <c r="K11" s="2"/>
      <c r="L11" s="2"/>
    </row>
    <row r="12" spans="1:12" x14ac:dyDescent="0.25">
      <c r="A12" s="31">
        <v>5758</v>
      </c>
      <c r="B12" s="31" t="s">
        <v>74</v>
      </c>
      <c r="C12" s="31"/>
      <c r="D12" s="31" t="s">
        <v>64</v>
      </c>
      <c r="E12" s="31" t="s">
        <v>45</v>
      </c>
      <c r="F12" s="31" t="s">
        <v>62</v>
      </c>
      <c r="G12" s="32">
        <v>25</v>
      </c>
      <c r="H12" s="32">
        <v>0</v>
      </c>
      <c r="I12" s="32">
        <v>0</v>
      </c>
      <c r="J12" s="32">
        <v>25</v>
      </c>
      <c r="K12" s="2"/>
      <c r="L12" s="2"/>
    </row>
    <row r="13" spans="1:12" x14ac:dyDescent="0.25">
      <c r="A13" s="31">
        <v>5759</v>
      </c>
      <c r="B13" s="31" t="s">
        <v>75</v>
      </c>
      <c r="C13" s="31" t="s">
        <v>76</v>
      </c>
      <c r="D13" s="31" t="s">
        <v>77</v>
      </c>
      <c r="E13" s="31" t="s">
        <v>78</v>
      </c>
      <c r="F13" s="31" t="s">
        <v>79</v>
      </c>
      <c r="G13" s="32">
        <v>540</v>
      </c>
      <c r="H13" s="32">
        <v>0</v>
      </c>
      <c r="I13" s="32">
        <v>0</v>
      </c>
      <c r="J13" s="32">
        <v>540</v>
      </c>
      <c r="K13" s="2"/>
      <c r="L13" s="2"/>
    </row>
    <row r="14" spans="1:12" x14ac:dyDescent="0.25">
      <c r="A14" s="31">
        <v>5760</v>
      </c>
      <c r="B14" s="31" t="s">
        <v>80</v>
      </c>
      <c r="C14" s="31" t="s">
        <v>81</v>
      </c>
      <c r="D14" s="31" t="s">
        <v>82</v>
      </c>
      <c r="E14" s="31" t="s">
        <v>61</v>
      </c>
      <c r="F14" s="31" t="s">
        <v>79</v>
      </c>
      <c r="G14" s="32">
        <v>450</v>
      </c>
      <c r="H14" s="32">
        <v>0</v>
      </c>
      <c r="I14" s="32">
        <v>0</v>
      </c>
      <c r="J14" s="32">
        <v>450</v>
      </c>
      <c r="K14" s="2"/>
      <c r="L14" s="2"/>
    </row>
    <row r="15" spans="1:12" x14ac:dyDescent="0.25">
      <c r="A15" s="31">
        <v>5761</v>
      </c>
      <c r="B15" s="31" t="s">
        <v>83</v>
      </c>
      <c r="C15" s="31" t="s">
        <v>84</v>
      </c>
      <c r="D15" s="31" t="s">
        <v>85</v>
      </c>
      <c r="E15" s="31" t="s">
        <v>61</v>
      </c>
      <c r="F15" s="31" t="s">
        <v>86</v>
      </c>
      <c r="G15" s="32">
        <v>450</v>
      </c>
      <c r="H15" s="32">
        <v>0</v>
      </c>
      <c r="I15" s="32">
        <v>0</v>
      </c>
      <c r="J15" s="32">
        <v>450</v>
      </c>
      <c r="K15" s="2"/>
      <c r="L15" s="2"/>
    </row>
    <row r="16" spans="1:12" x14ac:dyDescent="0.25">
      <c r="A16" s="31">
        <v>5762</v>
      </c>
      <c r="B16" s="31" t="s">
        <v>87</v>
      </c>
      <c r="C16" s="31"/>
      <c r="D16" s="31" t="s">
        <v>64</v>
      </c>
      <c r="E16" s="31" t="s">
        <v>47</v>
      </c>
      <c r="F16" s="31" t="s">
        <v>86</v>
      </c>
      <c r="G16" s="32">
        <v>20</v>
      </c>
      <c r="H16" s="32">
        <v>0</v>
      </c>
      <c r="I16" s="32">
        <v>0</v>
      </c>
      <c r="J16" s="32">
        <v>20</v>
      </c>
      <c r="K16" s="2"/>
      <c r="L16" s="2"/>
    </row>
    <row r="17" spans="1:12" x14ac:dyDescent="0.25">
      <c r="A17" s="31">
        <v>5763</v>
      </c>
      <c r="B17" s="31" t="s">
        <v>87</v>
      </c>
      <c r="C17" s="31"/>
      <c r="D17" s="31" t="s">
        <v>64</v>
      </c>
      <c r="E17" s="31" t="s">
        <v>42</v>
      </c>
      <c r="F17" s="31" t="s">
        <v>79</v>
      </c>
      <c r="G17" s="32">
        <v>50</v>
      </c>
      <c r="H17" s="32">
        <v>0</v>
      </c>
      <c r="I17" s="32">
        <v>0</v>
      </c>
      <c r="J17" s="32">
        <v>200</v>
      </c>
      <c r="K17" s="2"/>
      <c r="L17" s="2"/>
    </row>
    <row r="18" spans="1:12" x14ac:dyDescent="0.25">
      <c r="A18" s="31">
        <v>5763</v>
      </c>
      <c r="B18" s="31" t="s">
        <v>87</v>
      </c>
      <c r="C18" s="31"/>
      <c r="D18" s="31" t="s">
        <v>64</v>
      </c>
      <c r="E18" s="31" t="s">
        <v>42</v>
      </c>
      <c r="F18" s="31" t="s">
        <v>79</v>
      </c>
      <c r="G18" s="32">
        <v>50</v>
      </c>
      <c r="H18" s="32">
        <v>0</v>
      </c>
      <c r="I18" s="32">
        <v>0</v>
      </c>
      <c r="J18" s="32">
        <v>200</v>
      </c>
      <c r="K18" s="2"/>
      <c r="L18" s="2"/>
    </row>
    <row r="19" spans="1:12" x14ac:dyDescent="0.25">
      <c r="A19" s="31">
        <v>5763</v>
      </c>
      <c r="B19" s="31" t="s">
        <v>87</v>
      </c>
      <c r="C19" s="31"/>
      <c r="D19" s="31" t="s">
        <v>64</v>
      </c>
      <c r="E19" s="31" t="s">
        <v>42</v>
      </c>
      <c r="F19" s="31" t="s">
        <v>79</v>
      </c>
      <c r="G19" s="32">
        <v>50</v>
      </c>
      <c r="H19" s="32">
        <v>0</v>
      </c>
      <c r="I19" s="32">
        <v>0</v>
      </c>
      <c r="J19" s="32">
        <v>200</v>
      </c>
      <c r="K19" s="2"/>
      <c r="L19" s="2"/>
    </row>
    <row r="20" spans="1:12" x14ac:dyDescent="0.25">
      <c r="A20" s="31">
        <v>5763</v>
      </c>
      <c r="B20" s="31" t="s">
        <v>87</v>
      </c>
      <c r="C20" s="31"/>
      <c r="D20" s="31" t="s">
        <v>64</v>
      </c>
      <c r="E20" s="31" t="s">
        <v>42</v>
      </c>
      <c r="F20" s="31" t="s">
        <v>79</v>
      </c>
      <c r="G20" s="32">
        <v>50</v>
      </c>
      <c r="H20" s="32">
        <v>0</v>
      </c>
      <c r="I20" s="32">
        <v>0</v>
      </c>
      <c r="J20" s="32">
        <v>200</v>
      </c>
      <c r="K20" s="2"/>
      <c r="L20" s="2"/>
    </row>
    <row r="21" spans="1:12" x14ac:dyDescent="0.25">
      <c r="A21" s="31">
        <v>5764</v>
      </c>
      <c r="B21" s="31" t="s">
        <v>88</v>
      </c>
      <c r="C21" s="31"/>
      <c r="D21" s="31" t="s">
        <v>64</v>
      </c>
      <c r="E21" s="31" t="s">
        <v>47</v>
      </c>
      <c r="F21" s="31" t="s">
        <v>79</v>
      </c>
      <c r="G21" s="32">
        <v>20</v>
      </c>
      <c r="H21" s="32">
        <v>0</v>
      </c>
      <c r="I21" s="32">
        <v>0</v>
      </c>
      <c r="J21" s="32">
        <v>20</v>
      </c>
      <c r="K21" s="2"/>
      <c r="L21" s="2"/>
    </row>
    <row r="22" spans="1:12" x14ac:dyDescent="0.25">
      <c r="A22" s="31">
        <v>5765</v>
      </c>
      <c r="B22" s="31" t="s">
        <v>89</v>
      </c>
      <c r="C22" s="31" t="s">
        <v>90</v>
      </c>
      <c r="D22" s="31" t="s">
        <v>91</v>
      </c>
      <c r="E22" s="31" t="s">
        <v>78</v>
      </c>
      <c r="F22" s="31" t="s">
        <v>79</v>
      </c>
      <c r="G22" s="32">
        <v>540</v>
      </c>
      <c r="H22" s="32">
        <v>0</v>
      </c>
      <c r="I22" s="32">
        <v>0</v>
      </c>
      <c r="J22" s="32">
        <v>540</v>
      </c>
      <c r="K22" s="2"/>
      <c r="L22" s="2"/>
    </row>
    <row r="23" spans="1:12" x14ac:dyDescent="0.25">
      <c r="A23" s="31">
        <v>5766</v>
      </c>
      <c r="B23" s="31" t="s">
        <v>92</v>
      </c>
      <c r="C23" s="31" t="s">
        <v>93</v>
      </c>
      <c r="D23" s="31" t="s">
        <v>94</v>
      </c>
      <c r="E23" s="31" t="s">
        <v>61</v>
      </c>
      <c r="F23" s="31" t="s">
        <v>62</v>
      </c>
      <c r="G23" s="32">
        <v>450</v>
      </c>
      <c r="H23" s="32">
        <v>0</v>
      </c>
      <c r="I23" s="32">
        <v>0</v>
      </c>
      <c r="J23" s="32">
        <v>450</v>
      </c>
      <c r="K23" s="2"/>
      <c r="L23" s="2"/>
    </row>
    <row r="24" spans="1:12" x14ac:dyDescent="0.25">
      <c r="A24" s="31">
        <v>5767</v>
      </c>
      <c r="B24" s="31" t="s">
        <v>95</v>
      </c>
      <c r="C24" s="31"/>
      <c r="D24" s="31" t="s">
        <v>64</v>
      </c>
      <c r="E24" s="31" t="s">
        <v>42</v>
      </c>
      <c r="F24" s="31" t="s">
        <v>62</v>
      </c>
      <c r="G24" s="32">
        <v>50</v>
      </c>
      <c r="H24" s="32">
        <v>0</v>
      </c>
      <c r="I24" s="32">
        <v>0</v>
      </c>
      <c r="J24" s="32">
        <v>50</v>
      </c>
      <c r="K24" s="2"/>
      <c r="L24" s="2"/>
    </row>
    <row r="25" spans="1:12" x14ac:dyDescent="0.25">
      <c r="A25" s="31">
        <v>5768</v>
      </c>
      <c r="B25" s="31" t="s">
        <v>96</v>
      </c>
      <c r="C25" s="31" t="s">
        <v>97</v>
      </c>
      <c r="D25" s="31" t="s">
        <v>98</v>
      </c>
      <c r="E25" s="31" t="s">
        <v>78</v>
      </c>
      <c r="F25" s="31" t="s">
        <v>62</v>
      </c>
      <c r="G25" s="32">
        <v>540</v>
      </c>
      <c r="H25" s="32">
        <v>0</v>
      </c>
      <c r="I25" s="32">
        <v>0</v>
      </c>
      <c r="J25" s="32">
        <v>540</v>
      </c>
      <c r="K25" s="2"/>
      <c r="L25" s="2"/>
    </row>
    <row r="26" spans="1:12" x14ac:dyDescent="0.25">
      <c r="A26" s="31">
        <v>5769</v>
      </c>
      <c r="B26" s="31" t="s">
        <v>99</v>
      </c>
      <c r="C26" s="31" t="s">
        <v>100</v>
      </c>
      <c r="D26" s="31" t="s">
        <v>101</v>
      </c>
      <c r="E26" s="31" t="s">
        <v>61</v>
      </c>
      <c r="F26" s="31" t="s">
        <v>62</v>
      </c>
      <c r="G26" s="32">
        <v>450</v>
      </c>
      <c r="H26" s="32">
        <v>0</v>
      </c>
      <c r="I26" s="32">
        <v>0</v>
      </c>
      <c r="J26" s="32">
        <v>450</v>
      </c>
      <c r="K26" s="2"/>
      <c r="L26" s="2"/>
    </row>
    <row r="27" spans="1:12" x14ac:dyDescent="0.25">
      <c r="A27" s="31">
        <v>5770</v>
      </c>
      <c r="B27" s="31" t="s">
        <v>102</v>
      </c>
      <c r="C27" s="31" t="s">
        <v>103</v>
      </c>
      <c r="D27" s="31" t="s">
        <v>104</v>
      </c>
      <c r="E27" s="31" t="s">
        <v>105</v>
      </c>
      <c r="F27" s="31" t="s">
        <v>62</v>
      </c>
      <c r="G27" s="32">
        <v>450</v>
      </c>
      <c r="H27" s="32">
        <v>0</v>
      </c>
      <c r="I27" s="32">
        <v>0</v>
      </c>
      <c r="J27" s="32">
        <v>450</v>
      </c>
      <c r="K27" s="2"/>
      <c r="L27" s="2"/>
    </row>
    <row r="28" spans="1:12" x14ac:dyDescent="0.25">
      <c r="A28" s="31">
        <v>5771</v>
      </c>
      <c r="B28" s="31" t="s">
        <v>106</v>
      </c>
      <c r="C28" s="31" t="s">
        <v>107</v>
      </c>
      <c r="D28" s="31" t="s">
        <v>108</v>
      </c>
      <c r="E28" s="31" t="s">
        <v>72</v>
      </c>
      <c r="F28" s="31" t="s">
        <v>62</v>
      </c>
      <c r="G28" s="32">
        <v>180</v>
      </c>
      <c r="H28" s="32">
        <v>0</v>
      </c>
      <c r="I28" s="32">
        <v>0</v>
      </c>
      <c r="J28" s="32">
        <v>180</v>
      </c>
      <c r="K28" s="2"/>
      <c r="L28" s="2"/>
    </row>
    <row r="29" spans="1:12" x14ac:dyDescent="0.25">
      <c r="A29" s="31">
        <v>5772</v>
      </c>
      <c r="B29" s="31" t="s">
        <v>109</v>
      </c>
      <c r="C29" s="31" t="s">
        <v>110</v>
      </c>
      <c r="D29" s="31" t="s">
        <v>111</v>
      </c>
      <c r="E29" s="31" t="s">
        <v>61</v>
      </c>
      <c r="F29" s="31" t="s">
        <v>62</v>
      </c>
      <c r="G29" s="32">
        <v>450</v>
      </c>
      <c r="H29" s="32">
        <v>0</v>
      </c>
      <c r="I29" s="32">
        <v>0</v>
      </c>
      <c r="J29" s="32">
        <v>450</v>
      </c>
      <c r="K29" s="2"/>
      <c r="L29" s="2"/>
    </row>
    <row r="30" spans="1:12" x14ac:dyDescent="0.25">
      <c r="A30" s="31">
        <v>5773</v>
      </c>
      <c r="B30" s="31" t="s">
        <v>112</v>
      </c>
      <c r="C30" s="31"/>
      <c r="D30" s="31" t="s">
        <v>64</v>
      </c>
      <c r="E30" s="31" t="s">
        <v>42</v>
      </c>
      <c r="F30" s="31" t="s">
        <v>62</v>
      </c>
      <c r="G30" s="32">
        <v>50</v>
      </c>
      <c r="H30" s="32">
        <v>0</v>
      </c>
      <c r="I30" s="32">
        <v>0</v>
      </c>
      <c r="J30" s="32">
        <v>50</v>
      </c>
      <c r="K30" s="2"/>
      <c r="L30" s="2"/>
    </row>
    <row r="31" spans="1:12" x14ac:dyDescent="0.25">
      <c r="A31" s="31">
        <v>5774</v>
      </c>
      <c r="B31" s="31" t="s">
        <v>112</v>
      </c>
      <c r="C31" s="31"/>
      <c r="D31" s="31" t="s">
        <v>64</v>
      </c>
      <c r="E31" s="31" t="s">
        <v>47</v>
      </c>
      <c r="F31" s="31" t="s">
        <v>62</v>
      </c>
      <c r="G31" s="32">
        <v>20</v>
      </c>
      <c r="H31" s="32">
        <v>0</v>
      </c>
      <c r="I31" s="32">
        <v>0</v>
      </c>
      <c r="J31" s="32">
        <v>20</v>
      </c>
      <c r="K31" s="2"/>
      <c r="L31" s="2"/>
    </row>
    <row r="32" spans="1:12" x14ac:dyDescent="0.25">
      <c r="A32" s="31">
        <v>5775</v>
      </c>
      <c r="B32" s="31" t="s">
        <v>113</v>
      </c>
      <c r="C32" s="31" t="s">
        <v>114</v>
      </c>
      <c r="D32" s="31" t="s">
        <v>115</v>
      </c>
      <c r="E32" s="31" t="s">
        <v>61</v>
      </c>
      <c r="F32" s="31" t="s">
        <v>62</v>
      </c>
      <c r="G32" s="32">
        <v>450</v>
      </c>
      <c r="H32" s="32">
        <v>0</v>
      </c>
      <c r="I32" s="32">
        <v>0</v>
      </c>
      <c r="J32" s="32">
        <v>450</v>
      </c>
      <c r="K32" s="2"/>
      <c r="L32" s="2"/>
    </row>
    <row r="33" spans="1:12" x14ac:dyDescent="0.25">
      <c r="A33" s="31">
        <v>5776</v>
      </c>
      <c r="B33" s="31" t="s">
        <v>116</v>
      </c>
      <c r="C33" s="31"/>
      <c r="D33" s="31" t="s">
        <v>64</v>
      </c>
      <c r="E33" s="31" t="s">
        <v>42</v>
      </c>
      <c r="F33" s="31" t="s">
        <v>62</v>
      </c>
      <c r="G33" s="32">
        <v>50</v>
      </c>
      <c r="H33" s="32">
        <v>0</v>
      </c>
      <c r="I33" s="32">
        <v>0</v>
      </c>
      <c r="J33" s="32">
        <v>50</v>
      </c>
      <c r="K33" s="2"/>
      <c r="L33" s="2"/>
    </row>
    <row r="34" spans="1:12" x14ac:dyDescent="0.25">
      <c r="A34" s="31">
        <v>5777</v>
      </c>
      <c r="B34" s="31" t="s">
        <v>117</v>
      </c>
      <c r="C34" s="31"/>
      <c r="D34" s="31" t="s">
        <v>64</v>
      </c>
      <c r="E34" s="31" t="s">
        <v>45</v>
      </c>
      <c r="F34" s="31" t="s">
        <v>62</v>
      </c>
      <c r="G34" s="32">
        <v>25</v>
      </c>
      <c r="H34" s="32">
        <v>0</v>
      </c>
      <c r="I34" s="32">
        <v>0</v>
      </c>
      <c r="J34" s="32">
        <v>25</v>
      </c>
      <c r="K34" s="2"/>
      <c r="L34" s="2"/>
    </row>
    <row r="35" spans="1:12" x14ac:dyDescent="0.25">
      <c r="A35" s="31">
        <v>5778</v>
      </c>
      <c r="B35" s="31" t="s">
        <v>118</v>
      </c>
      <c r="C35" s="31"/>
      <c r="D35" s="31" t="s">
        <v>64</v>
      </c>
      <c r="E35" s="31" t="s">
        <v>47</v>
      </c>
      <c r="F35" s="31" t="s">
        <v>62</v>
      </c>
      <c r="G35" s="32">
        <v>20</v>
      </c>
      <c r="H35" s="32">
        <v>0</v>
      </c>
      <c r="I35" s="32">
        <v>0</v>
      </c>
      <c r="J35" s="32">
        <v>70</v>
      </c>
      <c r="K35" s="2"/>
      <c r="L35" s="2"/>
    </row>
    <row r="36" spans="1:12" x14ac:dyDescent="0.25">
      <c r="A36" s="31">
        <v>5778</v>
      </c>
      <c r="B36" s="31" t="s">
        <v>118</v>
      </c>
      <c r="C36" s="31"/>
      <c r="D36" s="31" t="s">
        <v>64</v>
      </c>
      <c r="E36" s="31" t="s">
        <v>42</v>
      </c>
      <c r="F36" s="31" t="s">
        <v>62</v>
      </c>
      <c r="G36" s="32">
        <v>50</v>
      </c>
      <c r="H36" s="32">
        <v>0</v>
      </c>
      <c r="I36" s="32">
        <v>0</v>
      </c>
      <c r="J36" s="32">
        <v>70</v>
      </c>
      <c r="K36" s="2"/>
      <c r="L36" s="2"/>
    </row>
    <row r="37" spans="1:12" x14ac:dyDescent="0.25">
      <c r="A37" s="31">
        <v>5779</v>
      </c>
      <c r="B37" s="31" t="s">
        <v>119</v>
      </c>
      <c r="C37" s="31"/>
      <c r="D37" s="31" t="s">
        <v>64</v>
      </c>
      <c r="E37" s="31" t="s">
        <v>46</v>
      </c>
      <c r="F37" s="31" t="s">
        <v>62</v>
      </c>
      <c r="G37" s="32">
        <v>42</v>
      </c>
      <c r="H37" s="32">
        <v>0</v>
      </c>
      <c r="I37" s="32">
        <v>0</v>
      </c>
      <c r="J37" s="32">
        <v>42</v>
      </c>
      <c r="K37" s="2"/>
      <c r="L37" s="2"/>
    </row>
    <row r="38" spans="1:12" x14ac:dyDescent="0.25">
      <c r="A38" s="28"/>
      <c r="B38" s="28"/>
      <c r="C38" s="28"/>
      <c r="D38" s="28"/>
      <c r="E38" s="28"/>
      <c r="F38" s="28"/>
      <c r="G38" s="29"/>
      <c r="H38" s="29"/>
      <c r="I38" s="29"/>
      <c r="J38" s="29"/>
      <c r="K38" s="2"/>
      <c r="L38" s="2"/>
    </row>
  </sheetData>
  <sheetProtection algorithmName="SHA-512" hashValue="F2FSrmSM4Gky0j+5HKRpJnNJIaNaS+fm2qSgpMtLN33ZuJRYGO9uIiF1lYEoL4HGJxASBRtZ0cO2KE9jYb1UGw==" saltValue="hqEq4KTHxHG/n7Gpss93sA==" spinCount="100000" sheet="1" objects="1" scenarios="1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2D54-4439-4FC2-85E4-C26D4E99DE40}">
  <dimension ref="A1:G60"/>
  <sheetViews>
    <sheetView workbookViewId="0">
      <selection sqref="A1:G1"/>
    </sheetView>
  </sheetViews>
  <sheetFormatPr baseColWidth="10" defaultRowHeight="15" x14ac:dyDescent="0.25"/>
  <cols>
    <col min="1" max="1" width="30.7109375" customWidth="1"/>
    <col min="2" max="7" width="8.7109375" customWidth="1"/>
  </cols>
  <sheetData>
    <row r="1" spans="1:7" x14ac:dyDescent="0.25">
      <c r="A1" s="33" t="s">
        <v>120</v>
      </c>
      <c r="B1" s="33"/>
      <c r="C1" s="33"/>
      <c r="D1" s="33"/>
      <c r="E1" s="33"/>
      <c r="F1" s="33"/>
      <c r="G1" s="33"/>
    </row>
    <row r="2" spans="1:7" x14ac:dyDescent="0.25">
      <c r="A2" s="5"/>
      <c r="B2" s="5"/>
      <c r="C2" s="5"/>
      <c r="D2" s="5"/>
      <c r="E2" s="5"/>
      <c r="F2" s="5"/>
      <c r="G2" s="5"/>
    </row>
    <row r="3" spans="1:7" ht="24.75" x14ac:dyDescent="0.25">
      <c r="A3" s="35" t="s">
        <v>30</v>
      </c>
      <c r="B3" s="35" t="s">
        <v>121</v>
      </c>
      <c r="C3" s="35" t="s">
        <v>122</v>
      </c>
      <c r="D3" s="35" t="s">
        <v>123</v>
      </c>
      <c r="E3" s="35" t="s">
        <v>124</v>
      </c>
      <c r="F3" s="35" t="s">
        <v>125</v>
      </c>
      <c r="G3" s="35" t="s">
        <v>126</v>
      </c>
    </row>
    <row r="4" spans="1:7" x14ac:dyDescent="0.25">
      <c r="A4" s="15" t="s">
        <v>47</v>
      </c>
      <c r="B4" s="36">
        <v>2</v>
      </c>
      <c r="C4" s="37">
        <v>11</v>
      </c>
      <c r="D4" s="36">
        <v>13</v>
      </c>
      <c r="E4" s="36">
        <v>0</v>
      </c>
      <c r="F4" s="36">
        <v>4</v>
      </c>
      <c r="G4" s="36">
        <v>9</v>
      </c>
    </row>
    <row r="5" spans="1:7" x14ac:dyDescent="0.25">
      <c r="A5" s="15" t="s">
        <v>45</v>
      </c>
      <c r="B5" s="36">
        <v>1</v>
      </c>
      <c r="C5" s="37">
        <v>11</v>
      </c>
      <c r="D5" s="36">
        <v>12</v>
      </c>
      <c r="E5" s="36">
        <v>0</v>
      </c>
      <c r="F5" s="36">
        <v>6</v>
      </c>
      <c r="G5" s="36">
        <v>6</v>
      </c>
    </row>
    <row r="6" spans="1:7" x14ac:dyDescent="0.25">
      <c r="A6" s="15" t="s">
        <v>127</v>
      </c>
      <c r="B6" s="36">
        <v>0</v>
      </c>
      <c r="C6" s="36">
        <v>0</v>
      </c>
      <c r="D6" s="36">
        <v>0</v>
      </c>
      <c r="E6" s="36">
        <v>0</v>
      </c>
      <c r="F6" s="36">
        <v>0</v>
      </c>
      <c r="G6" s="36">
        <v>0</v>
      </c>
    </row>
    <row r="7" spans="1:7" x14ac:dyDescent="0.25">
      <c r="A7" s="15" t="s">
        <v>128</v>
      </c>
      <c r="B7" s="36">
        <v>9</v>
      </c>
      <c r="C7" s="36">
        <v>0</v>
      </c>
      <c r="D7" s="36">
        <v>9</v>
      </c>
      <c r="E7" s="36">
        <v>0</v>
      </c>
      <c r="F7" s="36">
        <v>0</v>
      </c>
      <c r="G7" s="36">
        <v>9</v>
      </c>
    </row>
    <row r="8" spans="1:7" x14ac:dyDescent="0.25">
      <c r="A8" s="15" t="s">
        <v>129</v>
      </c>
      <c r="B8" s="36">
        <v>0</v>
      </c>
      <c r="C8" s="36">
        <v>0</v>
      </c>
      <c r="D8" s="36">
        <v>0</v>
      </c>
      <c r="E8" s="36">
        <v>0</v>
      </c>
      <c r="F8" s="36">
        <v>0</v>
      </c>
      <c r="G8" s="36">
        <v>0</v>
      </c>
    </row>
    <row r="9" spans="1:7" x14ac:dyDescent="0.25">
      <c r="A9" s="15" t="s">
        <v>130</v>
      </c>
      <c r="B9" s="36">
        <v>0</v>
      </c>
      <c r="C9" s="36">
        <v>0</v>
      </c>
      <c r="D9" s="36">
        <v>0</v>
      </c>
      <c r="E9" s="36">
        <v>0</v>
      </c>
      <c r="F9" s="36">
        <v>0</v>
      </c>
      <c r="G9" s="36">
        <v>0</v>
      </c>
    </row>
    <row r="10" spans="1:7" x14ac:dyDescent="0.25">
      <c r="A10" s="15" t="s">
        <v>131</v>
      </c>
      <c r="B10" s="36">
        <v>0</v>
      </c>
      <c r="C10" s="36">
        <v>0</v>
      </c>
      <c r="D10" s="36">
        <v>0</v>
      </c>
      <c r="E10" s="36">
        <v>0</v>
      </c>
      <c r="F10" s="36">
        <v>0</v>
      </c>
      <c r="G10" s="36">
        <v>0</v>
      </c>
    </row>
    <row r="11" spans="1:7" x14ac:dyDescent="0.25">
      <c r="A11" s="15" t="s">
        <v>132</v>
      </c>
      <c r="B11" s="36">
        <v>3</v>
      </c>
      <c r="C11" s="36">
        <v>0</v>
      </c>
      <c r="D11" s="36">
        <v>3</v>
      </c>
      <c r="E11" s="36">
        <v>0</v>
      </c>
      <c r="F11" s="36">
        <v>0</v>
      </c>
      <c r="G11" s="36">
        <v>3</v>
      </c>
    </row>
    <row r="12" spans="1:7" x14ac:dyDescent="0.25">
      <c r="A12" s="15" t="s">
        <v>133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</row>
    <row r="13" spans="1:7" x14ac:dyDescent="0.25">
      <c r="A13" s="15" t="s">
        <v>134</v>
      </c>
      <c r="B13" s="36">
        <v>5</v>
      </c>
      <c r="C13" s="36">
        <v>0</v>
      </c>
      <c r="D13" s="36">
        <v>5</v>
      </c>
      <c r="E13" s="36">
        <v>0</v>
      </c>
      <c r="F13" s="36">
        <v>0</v>
      </c>
      <c r="G13" s="36">
        <v>5</v>
      </c>
    </row>
    <row r="14" spans="1:7" x14ac:dyDescent="0.25">
      <c r="A14" s="15" t="s">
        <v>135</v>
      </c>
      <c r="B14" s="36">
        <v>1</v>
      </c>
      <c r="C14" s="36">
        <v>0</v>
      </c>
      <c r="D14" s="36">
        <v>1</v>
      </c>
      <c r="E14" s="36">
        <v>0</v>
      </c>
      <c r="F14" s="36">
        <v>0</v>
      </c>
      <c r="G14" s="36">
        <v>1</v>
      </c>
    </row>
    <row r="15" spans="1:7" x14ac:dyDescent="0.25">
      <c r="A15" s="15" t="s">
        <v>136</v>
      </c>
      <c r="B15" s="36">
        <v>2</v>
      </c>
      <c r="C15" s="36">
        <v>0</v>
      </c>
      <c r="D15" s="36">
        <v>2</v>
      </c>
      <c r="E15" s="36">
        <v>0</v>
      </c>
      <c r="F15" s="36">
        <v>0</v>
      </c>
      <c r="G15" s="36">
        <v>2</v>
      </c>
    </row>
    <row r="16" spans="1:7" x14ac:dyDescent="0.25">
      <c r="A16" s="15" t="s">
        <v>137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</row>
    <row r="17" spans="1:7" x14ac:dyDescent="0.25">
      <c r="A17" s="15" t="s">
        <v>138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</row>
    <row r="18" spans="1:7" x14ac:dyDescent="0.25">
      <c r="A18" s="15" t="s">
        <v>139</v>
      </c>
      <c r="B18" s="36">
        <v>3</v>
      </c>
      <c r="C18" s="36">
        <v>0</v>
      </c>
      <c r="D18" s="36">
        <v>3</v>
      </c>
      <c r="E18" s="36">
        <v>0</v>
      </c>
      <c r="F18" s="36">
        <v>0</v>
      </c>
      <c r="G18" s="36">
        <v>3</v>
      </c>
    </row>
    <row r="19" spans="1:7" x14ac:dyDescent="0.25">
      <c r="A19" s="15" t="s">
        <v>140</v>
      </c>
      <c r="B19" s="36">
        <v>2</v>
      </c>
      <c r="C19" s="36">
        <v>0</v>
      </c>
      <c r="D19" s="36">
        <v>2</v>
      </c>
      <c r="E19" s="36">
        <v>0</v>
      </c>
      <c r="F19" s="36">
        <v>0</v>
      </c>
      <c r="G19" s="36">
        <v>2</v>
      </c>
    </row>
    <row r="20" spans="1:7" x14ac:dyDescent="0.25">
      <c r="A20" s="15" t="s">
        <v>141</v>
      </c>
      <c r="B20" s="36">
        <v>1</v>
      </c>
      <c r="C20" s="36">
        <v>0</v>
      </c>
      <c r="D20" s="36">
        <v>1</v>
      </c>
      <c r="E20" s="36">
        <v>0</v>
      </c>
      <c r="F20" s="36">
        <v>0</v>
      </c>
      <c r="G20" s="36">
        <v>1</v>
      </c>
    </row>
    <row r="21" spans="1:7" x14ac:dyDescent="0.25">
      <c r="A21" s="15" t="s">
        <v>142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</row>
    <row r="22" spans="1:7" x14ac:dyDescent="0.25">
      <c r="A22" s="15" t="s">
        <v>143</v>
      </c>
      <c r="B22" s="36">
        <v>1</v>
      </c>
      <c r="C22" s="36">
        <v>0</v>
      </c>
      <c r="D22" s="36">
        <v>1</v>
      </c>
      <c r="E22" s="36">
        <v>0</v>
      </c>
      <c r="F22" s="36">
        <v>0</v>
      </c>
      <c r="G22" s="36">
        <v>1</v>
      </c>
    </row>
    <row r="23" spans="1:7" x14ac:dyDescent="0.25">
      <c r="A23" s="15" t="s">
        <v>144</v>
      </c>
      <c r="B23" s="36">
        <v>1</v>
      </c>
      <c r="C23" s="36">
        <v>0</v>
      </c>
      <c r="D23" s="36">
        <v>1</v>
      </c>
      <c r="E23" s="36">
        <v>0</v>
      </c>
      <c r="F23" s="36">
        <v>0</v>
      </c>
      <c r="G23" s="36">
        <v>1</v>
      </c>
    </row>
    <row r="24" spans="1:7" x14ac:dyDescent="0.25">
      <c r="A24" s="15" t="s">
        <v>145</v>
      </c>
      <c r="B24" s="36">
        <v>0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</row>
    <row r="25" spans="1:7" x14ac:dyDescent="0.25">
      <c r="A25" s="15" t="s">
        <v>146</v>
      </c>
      <c r="B25" s="36">
        <v>5</v>
      </c>
      <c r="C25" s="36">
        <v>-2</v>
      </c>
      <c r="D25" s="36">
        <v>3</v>
      </c>
      <c r="E25" s="36">
        <v>0</v>
      </c>
      <c r="F25" s="36">
        <v>0</v>
      </c>
      <c r="G25" s="36">
        <v>3</v>
      </c>
    </row>
    <row r="26" spans="1:7" x14ac:dyDescent="0.25">
      <c r="A26" s="15" t="s">
        <v>46</v>
      </c>
      <c r="B26" s="36">
        <v>3</v>
      </c>
      <c r="C26" s="37">
        <v>18</v>
      </c>
      <c r="D26" s="36">
        <v>21</v>
      </c>
      <c r="E26" s="36">
        <v>0</v>
      </c>
      <c r="F26" s="36">
        <v>2</v>
      </c>
      <c r="G26" s="36">
        <v>19</v>
      </c>
    </row>
    <row r="27" spans="1:7" x14ac:dyDescent="0.25">
      <c r="A27" s="15" t="s">
        <v>147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</row>
    <row r="28" spans="1:7" x14ac:dyDescent="0.25">
      <c r="A28" s="15" t="s">
        <v>148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</row>
    <row r="29" spans="1:7" x14ac:dyDescent="0.25">
      <c r="A29" s="15" t="s">
        <v>149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</row>
    <row r="30" spans="1:7" x14ac:dyDescent="0.25">
      <c r="A30" s="15" t="s">
        <v>150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</row>
    <row r="31" spans="1:7" x14ac:dyDescent="0.25">
      <c r="A31" s="15" t="s">
        <v>151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</row>
    <row r="32" spans="1:7" x14ac:dyDescent="0.25">
      <c r="A32" s="15" t="s">
        <v>152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</row>
    <row r="33" spans="1:7" x14ac:dyDescent="0.25">
      <c r="A33" s="15" t="s">
        <v>153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</row>
    <row r="34" spans="1:7" x14ac:dyDescent="0.25">
      <c r="A34" s="15" t="s">
        <v>154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</row>
    <row r="35" spans="1:7" x14ac:dyDescent="0.25">
      <c r="A35" s="15" t="s">
        <v>155</v>
      </c>
      <c r="B35" s="36">
        <v>0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</row>
    <row r="36" spans="1:7" x14ac:dyDescent="0.25">
      <c r="A36" s="15" t="s">
        <v>156</v>
      </c>
      <c r="B36" s="36">
        <v>1</v>
      </c>
      <c r="C36" s="36">
        <v>0</v>
      </c>
      <c r="D36" s="36">
        <v>1</v>
      </c>
      <c r="E36" s="36">
        <v>0</v>
      </c>
      <c r="F36" s="36">
        <v>0</v>
      </c>
      <c r="G36" s="36">
        <v>1</v>
      </c>
    </row>
    <row r="37" spans="1:7" x14ac:dyDescent="0.25">
      <c r="A37" s="15" t="s">
        <v>157</v>
      </c>
      <c r="B37" s="36">
        <v>60</v>
      </c>
      <c r="C37" s="36">
        <v>0</v>
      </c>
      <c r="D37" s="36">
        <v>60</v>
      </c>
      <c r="E37" s="36">
        <v>0</v>
      </c>
      <c r="F37" s="36">
        <v>0</v>
      </c>
      <c r="G37" s="36">
        <v>60</v>
      </c>
    </row>
    <row r="38" spans="1:7" x14ac:dyDescent="0.25">
      <c r="A38" s="15" t="s">
        <v>158</v>
      </c>
      <c r="B38" s="36">
        <v>0</v>
      </c>
      <c r="C38" s="36">
        <v>0</v>
      </c>
      <c r="D38" s="36">
        <v>0</v>
      </c>
      <c r="E38" s="36">
        <v>0</v>
      </c>
      <c r="F38" s="36">
        <v>0</v>
      </c>
      <c r="G38" s="36">
        <v>0</v>
      </c>
    </row>
    <row r="39" spans="1:7" x14ac:dyDescent="0.25">
      <c r="A39" s="15" t="s">
        <v>159</v>
      </c>
      <c r="B39" s="36">
        <v>3</v>
      </c>
      <c r="C39" s="36">
        <v>0</v>
      </c>
      <c r="D39" s="36">
        <v>3</v>
      </c>
      <c r="E39" s="36">
        <v>0</v>
      </c>
      <c r="F39" s="36">
        <v>0</v>
      </c>
      <c r="G39" s="36">
        <v>3</v>
      </c>
    </row>
    <row r="40" spans="1:7" x14ac:dyDescent="0.25">
      <c r="A40" s="15" t="s">
        <v>160</v>
      </c>
      <c r="B40" s="36">
        <v>0</v>
      </c>
      <c r="C40" s="36">
        <v>0</v>
      </c>
      <c r="D40" s="36">
        <v>0</v>
      </c>
      <c r="E40" s="36">
        <v>0</v>
      </c>
      <c r="F40" s="36">
        <v>0</v>
      </c>
      <c r="G40" s="36">
        <v>0</v>
      </c>
    </row>
    <row r="41" spans="1:7" x14ac:dyDescent="0.25">
      <c r="A41" s="15" t="s">
        <v>161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</row>
    <row r="42" spans="1:7" x14ac:dyDescent="0.25">
      <c r="A42" s="15" t="s">
        <v>162</v>
      </c>
      <c r="B42" s="36">
        <v>0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</row>
    <row r="43" spans="1:7" x14ac:dyDescent="0.25">
      <c r="A43" s="15" t="s">
        <v>42</v>
      </c>
      <c r="B43" s="36">
        <v>9999</v>
      </c>
      <c r="C43" s="36">
        <v>0</v>
      </c>
      <c r="D43" s="36">
        <v>9999</v>
      </c>
      <c r="E43" s="36">
        <v>0</v>
      </c>
      <c r="F43" s="36">
        <v>0</v>
      </c>
      <c r="G43" s="36">
        <v>9999</v>
      </c>
    </row>
    <row r="44" spans="1:7" x14ac:dyDescent="0.25">
      <c r="A44" s="15" t="s">
        <v>42</v>
      </c>
      <c r="B44" s="36">
        <v>57</v>
      </c>
      <c r="C44" s="37">
        <v>43</v>
      </c>
      <c r="D44" s="36">
        <v>100</v>
      </c>
      <c r="E44" s="36">
        <v>0</v>
      </c>
      <c r="F44" s="36">
        <v>9</v>
      </c>
      <c r="G44" s="36">
        <v>91</v>
      </c>
    </row>
    <row r="45" spans="1:7" x14ac:dyDescent="0.25">
      <c r="A45" s="15" t="s">
        <v>163</v>
      </c>
      <c r="B45" s="36">
        <v>50</v>
      </c>
      <c r="C45" s="36">
        <v>0</v>
      </c>
      <c r="D45" s="36">
        <v>50</v>
      </c>
      <c r="E45" s="36">
        <v>0</v>
      </c>
      <c r="F45" s="36">
        <v>0</v>
      </c>
      <c r="G45" s="36">
        <v>50</v>
      </c>
    </row>
    <row r="46" spans="1:7" x14ac:dyDescent="0.25">
      <c r="A46" s="15" t="s">
        <v>164</v>
      </c>
      <c r="B46" s="36">
        <v>0</v>
      </c>
      <c r="C46" s="36">
        <v>0</v>
      </c>
      <c r="D46" s="36">
        <v>0</v>
      </c>
      <c r="E46" s="36">
        <v>0</v>
      </c>
      <c r="F46" s="36">
        <v>0</v>
      </c>
      <c r="G46" s="36">
        <v>0</v>
      </c>
    </row>
    <row r="47" spans="1:7" x14ac:dyDescent="0.25">
      <c r="A47" s="15" t="s">
        <v>165</v>
      </c>
      <c r="B47" s="36">
        <v>0</v>
      </c>
      <c r="C47" s="36">
        <v>0</v>
      </c>
      <c r="D47" s="36">
        <v>0</v>
      </c>
      <c r="E47" s="36">
        <v>0</v>
      </c>
      <c r="F47" s="36">
        <v>0</v>
      </c>
      <c r="G47" s="36">
        <v>0</v>
      </c>
    </row>
    <row r="48" spans="1:7" x14ac:dyDescent="0.25">
      <c r="A48" s="15" t="s">
        <v>166</v>
      </c>
      <c r="B48" s="36">
        <v>0</v>
      </c>
      <c r="C48" s="36">
        <v>0</v>
      </c>
      <c r="D48" s="36">
        <v>0</v>
      </c>
      <c r="E48" s="36">
        <v>0</v>
      </c>
      <c r="F48" s="36">
        <v>0</v>
      </c>
      <c r="G48" s="36">
        <v>0</v>
      </c>
    </row>
    <row r="49" spans="1:7" x14ac:dyDescent="0.25">
      <c r="A49" s="15" t="s">
        <v>167</v>
      </c>
      <c r="B49" s="36">
        <v>0</v>
      </c>
      <c r="C49" s="36">
        <v>0</v>
      </c>
      <c r="D49" s="36">
        <v>0</v>
      </c>
      <c r="E49" s="36">
        <v>0</v>
      </c>
      <c r="F49" s="36">
        <v>0</v>
      </c>
      <c r="G49" s="36">
        <v>0</v>
      </c>
    </row>
    <row r="50" spans="1:7" x14ac:dyDescent="0.25">
      <c r="A50" s="15" t="s">
        <v>168</v>
      </c>
      <c r="B50" s="36">
        <v>1</v>
      </c>
      <c r="C50" s="36">
        <v>0</v>
      </c>
      <c r="D50" s="36">
        <v>1</v>
      </c>
      <c r="E50" s="36">
        <v>0</v>
      </c>
      <c r="F50" s="36">
        <v>0</v>
      </c>
      <c r="G50" s="36">
        <v>1</v>
      </c>
    </row>
    <row r="51" spans="1:7" x14ac:dyDescent="0.25">
      <c r="A51" s="15" t="s">
        <v>169</v>
      </c>
      <c r="B51" s="36">
        <v>1</v>
      </c>
      <c r="C51" s="36">
        <v>0</v>
      </c>
      <c r="D51" s="36">
        <v>1</v>
      </c>
      <c r="E51" s="36">
        <v>0</v>
      </c>
      <c r="F51" s="36">
        <v>0</v>
      </c>
      <c r="G51" s="36">
        <v>1</v>
      </c>
    </row>
    <row r="52" spans="1:7" x14ac:dyDescent="0.25">
      <c r="A52" s="15" t="s">
        <v>170</v>
      </c>
      <c r="B52" s="36">
        <v>1</v>
      </c>
      <c r="C52" s="36">
        <v>0</v>
      </c>
      <c r="D52" s="36">
        <v>1</v>
      </c>
      <c r="E52" s="36">
        <v>0</v>
      </c>
      <c r="F52" s="36">
        <v>0</v>
      </c>
      <c r="G52" s="36">
        <v>1</v>
      </c>
    </row>
    <row r="53" spans="1:7" x14ac:dyDescent="0.25">
      <c r="A53" s="15" t="s">
        <v>171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</row>
    <row r="54" spans="1:7" x14ac:dyDescent="0.25">
      <c r="A54" s="15" t="s">
        <v>172</v>
      </c>
      <c r="B54" s="36">
        <v>0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</row>
    <row r="55" spans="1:7" x14ac:dyDescent="0.25">
      <c r="A55" s="15" t="s">
        <v>173</v>
      </c>
      <c r="B55" s="36">
        <v>1</v>
      </c>
      <c r="C55" s="36">
        <v>0</v>
      </c>
      <c r="D55" s="36">
        <v>1</v>
      </c>
      <c r="E55" s="36">
        <v>0</v>
      </c>
      <c r="F55" s="36">
        <v>0</v>
      </c>
      <c r="G55" s="36">
        <v>1</v>
      </c>
    </row>
    <row r="56" spans="1:7" x14ac:dyDescent="0.25">
      <c r="A56" s="15" t="s">
        <v>174</v>
      </c>
      <c r="B56" s="36">
        <v>5</v>
      </c>
      <c r="C56" s="36">
        <v>0</v>
      </c>
      <c r="D56" s="36">
        <v>5</v>
      </c>
      <c r="E56" s="36">
        <v>0</v>
      </c>
      <c r="F56" s="36">
        <v>0</v>
      </c>
      <c r="G56" s="36">
        <v>5</v>
      </c>
    </row>
    <row r="57" spans="1:7" x14ac:dyDescent="0.25">
      <c r="A57" s="15" t="s">
        <v>175</v>
      </c>
      <c r="B57" s="36">
        <v>2</v>
      </c>
      <c r="C57" s="36">
        <v>0</v>
      </c>
      <c r="D57" s="36">
        <v>2</v>
      </c>
      <c r="E57" s="36">
        <v>0</v>
      </c>
      <c r="F57" s="36">
        <v>0</v>
      </c>
      <c r="G57" s="36">
        <v>2</v>
      </c>
    </row>
    <row r="58" spans="1:7" x14ac:dyDescent="0.25">
      <c r="A58" s="15" t="s">
        <v>176</v>
      </c>
      <c r="B58" s="36">
        <v>10</v>
      </c>
      <c r="C58" s="36">
        <v>0</v>
      </c>
      <c r="D58" s="36">
        <v>10</v>
      </c>
      <c r="E58" s="36">
        <v>0</v>
      </c>
      <c r="F58" s="36">
        <v>0</v>
      </c>
      <c r="G58" s="36">
        <v>10</v>
      </c>
    </row>
    <row r="59" spans="1:7" x14ac:dyDescent="0.25">
      <c r="A59" s="15" t="s">
        <v>177</v>
      </c>
      <c r="B59" s="36">
        <v>4</v>
      </c>
      <c r="C59" s="36">
        <v>0</v>
      </c>
      <c r="D59" s="36">
        <v>4</v>
      </c>
      <c r="E59" s="36">
        <v>0</v>
      </c>
      <c r="F59" s="36">
        <v>0</v>
      </c>
      <c r="G59" s="36">
        <v>4</v>
      </c>
    </row>
    <row r="60" spans="1:7" x14ac:dyDescent="0.25">
      <c r="A60" s="5"/>
      <c r="B60" s="34"/>
      <c r="C60" s="34"/>
      <c r="D60" s="34"/>
      <c r="E60" s="34"/>
      <c r="F60" s="34"/>
      <c r="G60" s="34"/>
    </row>
  </sheetData>
  <sheetProtection algorithmName="SHA-512" hashValue="Xm9zCkDzApGrJ2bNuP6O3lEAsH10/5Q0CzXks9JsFLi+51Ztp5DN/zvGU0reK0cqQcpx9RfwMuNPjB16DKsd4A==" saltValue="ehRe3LAxnXSUzG7Ps0da/w==" spinCount="100000" sheet="1" objects="1" scenarios="1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88E0-F897-44C8-8866-168EA73387F3}">
  <dimension ref="A1:L4"/>
  <sheetViews>
    <sheetView workbookViewId="0">
      <selection sqref="A1:I1"/>
    </sheetView>
  </sheetViews>
  <sheetFormatPr baseColWidth="10" defaultRowHeight="15" x14ac:dyDescent="0.25"/>
  <cols>
    <col min="1" max="1" width="8.7109375" customWidth="1"/>
    <col min="2" max="2" width="13.7109375" customWidth="1"/>
    <col min="3" max="3" width="7.7109375" customWidth="1"/>
    <col min="4" max="4" width="30.7109375" customWidth="1"/>
    <col min="5" max="5" width="40.7109375" customWidth="1"/>
    <col min="6" max="6" width="18.7109375" customWidth="1"/>
    <col min="7" max="10" width="11.7109375" customWidth="1"/>
    <col min="11" max="11" width="8.7109375" customWidth="1"/>
  </cols>
  <sheetData>
    <row r="1" spans="1:12" x14ac:dyDescent="0.25">
      <c r="A1" s="1" t="s">
        <v>178</v>
      </c>
      <c r="B1" s="1"/>
      <c r="C1" s="1"/>
      <c r="D1" s="1"/>
      <c r="E1" s="1"/>
      <c r="F1" s="1"/>
      <c r="G1" s="1"/>
      <c r="H1" s="1"/>
      <c r="I1" s="1"/>
    </row>
    <row r="3" spans="1:12" ht="30" customHeight="1" x14ac:dyDescent="0.25">
      <c r="A3" s="30" t="s">
        <v>50</v>
      </c>
      <c r="B3" s="30" t="s">
        <v>51</v>
      </c>
      <c r="C3" s="30" t="s">
        <v>52</v>
      </c>
      <c r="D3" s="30" t="s">
        <v>53</v>
      </c>
      <c r="E3" s="30" t="s">
        <v>54</v>
      </c>
      <c r="F3" s="30" t="s">
        <v>55</v>
      </c>
      <c r="G3" s="30" t="s">
        <v>31</v>
      </c>
      <c r="H3" s="30" t="s">
        <v>56</v>
      </c>
      <c r="I3" s="30" t="s">
        <v>57</v>
      </c>
      <c r="J3" s="30" t="s">
        <v>37</v>
      </c>
    </row>
    <row r="4" spans="1:12" x14ac:dyDescent="0.25">
      <c r="A4" s="28"/>
      <c r="B4" s="28"/>
      <c r="C4" s="28"/>
      <c r="D4" s="28"/>
      <c r="E4" s="28"/>
      <c r="F4" s="28"/>
      <c r="G4" s="29"/>
      <c r="H4" s="29"/>
      <c r="I4" s="29"/>
      <c r="J4" s="29"/>
      <c r="K4" s="2"/>
      <c r="L4" s="2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1E88-3213-49F5-B0D6-582E4A76EA9A}">
  <dimension ref="A1:D4"/>
  <sheetViews>
    <sheetView workbookViewId="0">
      <selection sqref="A1:D1"/>
    </sheetView>
  </sheetViews>
  <sheetFormatPr baseColWidth="10" defaultRowHeight="15" x14ac:dyDescent="0.25"/>
  <cols>
    <col min="1" max="1" width="7.7109375" customWidth="1"/>
    <col min="2" max="2" width="14.7109375" customWidth="1"/>
    <col min="3" max="3" width="30.7109375" customWidth="1"/>
    <col min="4" max="4" width="12.7109375" customWidth="1"/>
  </cols>
  <sheetData>
    <row r="1" spans="1:4" x14ac:dyDescent="0.25">
      <c r="A1" s="1" t="s">
        <v>179</v>
      </c>
      <c r="B1" s="1"/>
      <c r="C1" s="1"/>
      <c r="D1" s="1"/>
    </row>
    <row r="3" spans="1:4" x14ac:dyDescent="0.25">
      <c r="A3" s="30" t="s">
        <v>180</v>
      </c>
      <c r="B3" s="30" t="s">
        <v>181</v>
      </c>
      <c r="C3" s="30" t="s">
        <v>182</v>
      </c>
      <c r="D3" s="30" t="s">
        <v>183</v>
      </c>
    </row>
    <row r="4" spans="1:4" x14ac:dyDescent="0.25">
      <c r="A4" s="28"/>
      <c r="B4" s="28"/>
      <c r="C4" s="28"/>
      <c r="D4" s="29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A05D-F294-470A-AE77-3A0D816BEFB2}">
  <dimension ref="A1:C7"/>
  <sheetViews>
    <sheetView workbookViewId="0">
      <selection sqref="A1:C1"/>
    </sheetView>
  </sheetViews>
  <sheetFormatPr baseColWidth="10" defaultRowHeight="15" x14ac:dyDescent="0.25"/>
  <cols>
    <col min="1" max="1" width="22.7109375" customWidth="1"/>
    <col min="2" max="2" width="8.7109375" customWidth="1"/>
    <col min="3" max="3" width="12.7109375" customWidth="1"/>
  </cols>
  <sheetData>
    <row r="1" spans="1:3" x14ac:dyDescent="0.25">
      <c r="A1" s="38" t="s">
        <v>184</v>
      </c>
      <c r="B1" s="38"/>
      <c r="C1" s="38"/>
    </row>
    <row r="2" spans="1:3" x14ac:dyDescent="0.25">
      <c r="A2" s="28"/>
      <c r="B2" s="28"/>
      <c r="C2" s="28"/>
    </row>
    <row r="3" spans="1:3" x14ac:dyDescent="0.25">
      <c r="A3" s="39" t="s">
        <v>185</v>
      </c>
      <c r="B3" s="39" t="s">
        <v>186</v>
      </c>
      <c r="C3" s="40" t="s">
        <v>187</v>
      </c>
    </row>
    <row r="4" spans="1:3" x14ac:dyDescent="0.25">
      <c r="A4" s="31" t="s">
        <v>188</v>
      </c>
      <c r="B4" s="31">
        <v>22</v>
      </c>
      <c r="C4" s="32">
        <v>4099</v>
      </c>
    </row>
    <row r="5" spans="1:3" x14ac:dyDescent="0.25">
      <c r="A5" s="31" t="s">
        <v>189</v>
      </c>
      <c r="B5" s="31">
        <v>7</v>
      </c>
      <c r="C5" s="32">
        <v>2220</v>
      </c>
    </row>
    <row r="6" spans="1:3" x14ac:dyDescent="0.25">
      <c r="A6" s="31" t="s">
        <v>190</v>
      </c>
      <c r="B6" s="31">
        <v>1</v>
      </c>
      <c r="C6" s="32">
        <v>25</v>
      </c>
    </row>
    <row r="7" spans="1:3" x14ac:dyDescent="0.25">
      <c r="A7" s="41"/>
      <c r="B7" s="41" t="s">
        <v>37</v>
      </c>
      <c r="C7" s="42">
        <f>SUM(C3:C6)</f>
        <v>6344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81FF-D30B-431D-BEFA-E6673A34602A}">
  <dimension ref="A1:C5"/>
  <sheetViews>
    <sheetView workbookViewId="0">
      <selection sqref="A1:C1"/>
    </sheetView>
  </sheetViews>
  <sheetFormatPr baseColWidth="10" defaultRowHeight="15" x14ac:dyDescent="0.25"/>
  <cols>
    <col min="1" max="1" width="22.7109375" customWidth="1"/>
    <col min="2" max="2" width="8.7109375" customWidth="1"/>
    <col min="3" max="3" width="12.7109375" customWidth="1"/>
  </cols>
  <sheetData>
    <row r="1" spans="1:3" x14ac:dyDescent="0.25">
      <c r="A1" s="38" t="s">
        <v>191</v>
      </c>
      <c r="B1" s="38"/>
      <c r="C1" s="38"/>
    </row>
    <row r="2" spans="1:3" x14ac:dyDescent="0.25">
      <c r="A2" s="28"/>
      <c r="B2" s="28"/>
      <c r="C2" s="28"/>
    </row>
    <row r="3" spans="1:3" x14ac:dyDescent="0.25">
      <c r="A3" s="39" t="s">
        <v>192</v>
      </c>
      <c r="B3" s="39" t="s">
        <v>39</v>
      </c>
      <c r="C3" s="40" t="s">
        <v>187</v>
      </c>
    </row>
    <row r="4" spans="1:3" x14ac:dyDescent="0.25">
      <c r="A4" s="31" t="s">
        <v>4</v>
      </c>
      <c r="B4" s="31">
        <v>30</v>
      </c>
      <c r="C4" s="32">
        <v>6344</v>
      </c>
    </row>
    <row r="5" spans="1:3" x14ac:dyDescent="0.25">
      <c r="A5" s="41"/>
      <c r="B5" s="41" t="s">
        <v>37</v>
      </c>
      <c r="C5" s="42">
        <f>SUM(C3:C4)</f>
        <v>6344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AB34-0BE3-4913-9483-B9654649FAB2}">
  <dimension ref="A1:G7"/>
  <sheetViews>
    <sheetView workbookViewId="0">
      <selection sqref="A1:G1"/>
    </sheetView>
  </sheetViews>
  <sheetFormatPr baseColWidth="10" defaultRowHeight="15" x14ac:dyDescent="0.25"/>
  <cols>
    <col min="1" max="1" width="8.7109375" customWidth="1"/>
    <col min="2" max="2" width="15.7109375" customWidth="1"/>
    <col min="3" max="3" width="22.7109375" customWidth="1"/>
    <col min="4" max="4" width="8.7109375" customWidth="1"/>
    <col min="5" max="6" width="12.7109375" customWidth="1"/>
    <col min="7" max="7" width="13.7109375" customWidth="1"/>
  </cols>
  <sheetData>
    <row r="1" spans="1:7" x14ac:dyDescent="0.25">
      <c r="A1" s="38" t="s">
        <v>193</v>
      </c>
      <c r="B1" s="38"/>
      <c r="C1" s="38"/>
      <c r="D1" s="38"/>
      <c r="E1" s="38"/>
      <c r="F1" s="38"/>
      <c r="G1" s="38"/>
    </row>
    <row r="2" spans="1:7" x14ac:dyDescent="0.25">
      <c r="A2" s="28"/>
      <c r="B2" s="28"/>
      <c r="C2" s="28"/>
      <c r="D2" s="28"/>
      <c r="E2" s="28"/>
      <c r="F2" s="28"/>
      <c r="G2" s="28"/>
    </row>
    <row r="3" spans="1:7" x14ac:dyDescent="0.25">
      <c r="A3" s="39" t="s">
        <v>194</v>
      </c>
      <c r="B3" s="39" t="s">
        <v>51</v>
      </c>
      <c r="C3" s="39" t="s">
        <v>195</v>
      </c>
      <c r="D3" s="39" t="s">
        <v>196</v>
      </c>
      <c r="E3" s="39" t="s">
        <v>197</v>
      </c>
      <c r="F3" s="39" t="s">
        <v>198</v>
      </c>
      <c r="G3" s="39" t="s">
        <v>199</v>
      </c>
    </row>
    <row r="4" spans="1:7" x14ac:dyDescent="0.25">
      <c r="A4" s="31"/>
      <c r="B4" s="31"/>
      <c r="C4" s="31"/>
      <c r="D4" s="31"/>
      <c r="E4" s="31"/>
      <c r="F4" s="31"/>
      <c r="G4" s="32"/>
    </row>
    <row r="5" spans="1:7" x14ac:dyDescent="0.25">
      <c r="G5" s="2"/>
    </row>
    <row r="6" spans="1:7" x14ac:dyDescent="0.25">
      <c r="G6" s="2"/>
    </row>
    <row r="7" spans="1:7" x14ac:dyDescent="0.25">
      <c r="G7" s="2"/>
    </row>
  </sheetData>
  <sheetProtection algorithmName="SHA-512" hashValue="FN6mh2tRx2q1pBBS+EqTKrEWcwbFQVBqHpXcB4002gwyhFbqomBnrI9fvLu2gjTSFJZo9Zo3fgBo2C/lyjWITg==" saltValue="8UnxrL8fq8LR4qJYRB4C2g==" spinCount="100000" sheet="1" objects="1" scenarios="1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Cierre</vt:lpstr>
      <vt:lpstr>Ventas</vt:lpstr>
      <vt:lpstr>Inventario</vt:lpstr>
      <vt:lpstr>Canceladas</vt:lpstr>
      <vt:lpstr>Retiros</vt:lpstr>
      <vt:lpstr>Por Vendedores</vt:lpstr>
      <vt:lpstr>Por Cajeros</vt:lpstr>
      <vt:lpstr>Ventas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2026-01-13T05:24:48Z</dcterms:created>
  <dcterms:modified xsi:type="dcterms:W3CDTF">2026-01-13T05:25:41Z</dcterms:modified>
</cp:coreProperties>
</file>